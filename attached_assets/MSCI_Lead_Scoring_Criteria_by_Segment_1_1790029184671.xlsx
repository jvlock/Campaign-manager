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Hedge Funds" sheetId="2" state="visible" r:id="rId4"/>
    <sheet name="Asset Managers" sheetId="3" state="visible" r:id="rId5"/>
    <sheet name="Asset Owners" sheetId="4" state="visible" r:id="rId6"/>
    <sheet name="Wealth" sheetId="5" state="visible" r:id="rId7"/>
    <sheet name="Bank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<sst xmlns="http://schemas.openxmlformats.org/spreadsheetml/2006/main" count="501" uniqueCount="360">
  <si>
    <t xml:space="preserve">MSCI Lead Scoring Criteria by Segment — Instructions &amp; Legend</t>
  </si>
  <si>
    <t xml:space="preserve">Prepared by: Jonathan Vlock</t>
  </si>
  <si>
    <t xml:space="preserve">Date: July 28, 2026</t>
  </si>
  <si>
    <t xml:space="preserve">Purpose</t>
  </si>
  <si>
    <t xml:space="preserve">This workbook extracts the CliCS Use Case taxonomy from the five 1MSCI Use Case Benchmarking Training Decks (Hedge Funds, Asset Managers, Asset Owners, Wealth, Banks &amp; Brokerages) into a structured, selectable format, so each Use Case can be assigned a Priority tier for lead scoring criteria.</t>
  </si>
  <si>
    <t xml:space="preserve">Structure</t>
  </si>
  <si>
    <t xml:space="preserve">One tab per segment. Each tab opens with a CliCS reference block (Size-Tiers, Peer Groups, Business Units) as stated in the source deck, followed by the Use Case table.</t>
  </si>
  <si>
    <t xml:space="preserve">Editable field</t>
  </si>
  <si>
    <t xml:space="preserve">Column 'Priority' carries a dropdown (High / Medium / Low). This is the only field intended to be edited when building lead scoring criteria; all other fields are extracted reference content.</t>
  </si>
  <si>
    <t xml:space="preserve">Priority Summary</t>
  </si>
  <si>
    <t xml:space="preserve">Each tab includes a live count of High / Medium / Low selections (COUNTIF formulas), so the count updates automatically as Priority values are changed.</t>
  </si>
  <si>
    <t xml:space="preserve">Source Files</t>
  </si>
  <si>
    <t xml:space="preserve">Hedge_Funds_Use_Case_Training_Deck.pptx; Asset_Managers_Use_Case_Training_Deck.pptx; Asset_Owners_Use_Case_Benchmarking_Training_Deck.pptx; Wealth_Use_Case_Benchmarking_Training_Deck.pptx; Banks_Use_Case_Training_Deck.pptx</t>
  </si>
  <si>
    <t xml:space="preserve">Data Gaps and Assumptions (documented, not fabricated)</t>
  </si>
  <si>
    <t xml:space="preserve">•  Asset Owners and Wealth source decks list a single combined 'Persona' field rather than separate Decision Makers and Users columns; the Users column on those two tabs is intentionally left blank.</t>
  </si>
  <si>
    <t xml:space="preserve">•  Banks 'Use Case #6' does not appear in the source deck (numbering jumps from 5 to 7); it has not been invented or filled in.</t>
  </si>
  <si>
    <t xml:space="preserve">•  Banks rows for Capital Markets (#9) and all three Proprietary Market Maker use cases have blank Decision Makers / Users / Best-Fit Products cells in the source deck; these are left blank rather than assumed.</t>
  </si>
  <si>
    <t xml:space="preserve">•  Asset Servicers &amp; Custodians, Brokerages, Boutiques, and Lenders &amp; Originators (Banks segment) are not broken out by Use Case in the source deck and are not represented as rows on the Banks tab.</t>
  </si>
  <si>
    <t xml:space="preserve">•  Asset Owners' Pension Plans size-tier ranges are transcribed exactly as shown in the source deck (Large $50-1,000B, Very Large &gt;$100B); the ranges overlap in the original material and should be verified with the deck owner before use.</t>
  </si>
  <si>
    <t xml:space="preserve">Tabs in this workbook</t>
  </si>
  <si>
    <t xml:space="preserve">•  Hedge Funds</t>
  </si>
  <si>
    <t xml:space="preserve">•  Asset Managers</t>
  </si>
  <si>
    <t xml:space="preserve">•  Asset Owners</t>
  </si>
  <si>
    <t xml:space="preserve">•  Wealth</t>
  </si>
  <si>
    <t xml:space="preserve">•  Banks</t>
  </si>
  <si>
    <t xml:space="preserve">MSCI Hedge Funds — Use Case Lead Scoring Criteria</t>
  </si>
  <si>
    <t xml:space="preserve">Prepared by: Jonathan Vlock   |   Date: July 28, 2026</t>
  </si>
  <si>
    <t xml:space="preserve">CliCS Reference (as stated in source deck)</t>
  </si>
  <si>
    <t xml:space="preserve">Size-Tiers</t>
  </si>
  <si>
    <t xml:space="preserve">Small &lt;$1B; Medium $1-10B; Large &gt;$10B</t>
  </si>
  <si>
    <t xml:space="preserve">Peer Groups</t>
  </si>
  <si>
    <t xml:space="preserve">Equities; Fixed Income; Multi-Manager; Multi-Strategy; Funds of Hedge Funds</t>
  </si>
  <si>
    <t xml:space="preserve">Likely Business Units</t>
  </si>
  <si>
    <t xml:space="preserve">Portfolio Management and Trading; Enterprise Risk &amp; Performance; Compliance &amp; Reg. Reporting; Investor Relations</t>
  </si>
  <si>
    <t xml:space="preserve">Category</t>
  </si>
  <si>
    <t xml:space="preserve">Use Case</t>
  </si>
  <si>
    <t xml:space="preserve">Description</t>
  </si>
  <si>
    <t xml:space="preserve">Decision Makers</t>
  </si>
  <si>
    <t xml:space="preserve">Users</t>
  </si>
  <si>
    <t xml:space="preserve">Best-Fit Products</t>
  </si>
  <si>
    <t xml:space="preserve">Priority</t>
  </si>
  <si>
    <t xml:space="preserve">Notes</t>
  </si>
  <si>
    <t xml:space="preserve">Portfolio Mgt &amp; Trading</t>
  </si>
  <si>
    <t xml:space="preserve">PM – EQ Fundamental</t>
  </si>
  <si>
    <t xml:space="preserve">Invests in stocks using bottom-up, research-driven analysis of company fundamentals such as financial performance, valuation, industry trends, and management quality. They take long positions in companies expected to outperform and short positions in those likely to underperform, seeking to generate alpha through security selection and conviction rather than market direction. Common strategy focuses include long/short equity, sector-specialist investing, event-driven or catalyst-based trades, activist investing, and fundamental market-neutral approaches. The goal is to produce idiosyncratic, risk-adjusted returns driven by deep fundamental insight.</t>
  </si>
  <si>
    <t xml:space="preserve">CIO, Senior PMs</t>
  </si>
  <si>
    <t xml:space="preserve">PMs, Research, Analysts, Quant Support, S&amp;C specialists</t>
  </si>
  <si>
    <t xml:space="preserve">Platform: BPM, AI Insights; Models Direct; Market Cap Index subscription; Factor, ESG &amp; Thematic Index subscription; ESG Ratings</t>
  </si>
  <si>
    <t xml:space="preserve">PM – EQ Systematic</t>
  </si>
  <si>
    <t xml:space="preserve">Invests in stocks using data-driven, rules-based models to identify and exploit recurring patterns in market behavior. Decisions are guided by quantitative research, statistical analysis, and algorithmic execution rather than discretionary judgment. Common strategy areas include factor investing (value, momentum, quality, low volatility), statistical arbitrage, index arbitrage, index rebalancing, market-neutral trading, and machine-learning or alternative-data models. The goal is to generate consistent, risk-adjusted returns through disciplined factor exposure, diversification, and scalable execution across large universes of equities.</t>
  </si>
  <si>
    <t xml:space="preserve">PMs, Analysts</t>
  </si>
  <si>
    <t xml:space="preserve">Platform: BPM, Open Optimizer; Models Direct; Market Cap Indexes (index deep history); Factor, ESG &amp; Thematic Index subscription; ESG Ratings</t>
  </si>
  <si>
    <t xml:space="preserve">PM – Multi-Asset &amp; Fixed Income</t>
  </si>
  <si>
    <t xml:space="preserve">Invests across asset classes, including rates, credit, equities, currencies, and commodities, to express views on macroeconomic trends, monetary policy, and market dislocations. While some employ systematic or model-driven approaches, most are fundamental and discretionary, relying on macroeconomic research, policy analysis, and market judgment to identify relative-value and directional opportunities. The objective is to generate absolute returns through cross-asset positioning, tactical allocation, and disciplined risk management.</t>
  </si>
  <si>
    <t xml:space="preserve">PMs, Analysts, Quant Support, S&amp;C specialists</t>
  </si>
  <si>
    <t xml:space="preserve">Market Cap Indexes; Factor, ESG &amp; Thematic Indexes; ESG Ratings; ESG Screening; Models Direct (incl. FI Factor Models); Single Security Analytics</t>
  </si>
  <si>
    <t xml:space="preserve">PM – Privates</t>
  </si>
  <si>
    <t xml:space="preserve">Real estate and private asset exposure in hedge funds, most often found in Credit, Event-Driven, or Multi-Asset/Opportunistic strategies. They lean fundamental, since these trades rely on valuation, financing, and macro judgment rather than model-driven signals.</t>
  </si>
  <si>
    <t xml:space="preserve">CIO, Head of Alternatives</t>
  </si>
  <si>
    <t xml:space="preserve">Mgr selection, Analysts, Accounting</t>
  </si>
  <si>
    <t xml:space="preserve">Platform: n/a; PCS; RCA</t>
  </si>
  <si>
    <t xml:space="preserve">Risk &amp; Performance</t>
  </si>
  <si>
    <t xml:space="preserve">Risk &amp; Perf. Mgt.</t>
  </si>
  <si>
    <t xml:space="preserve">Monitor firm-wide exposures, enforcing risk limits, and ensuring that P&amp;L comes from true alpha rather than unintended market or factor bets. They aggregate risk across strategies and PMs, run stress tests and scenario analyses, and oversee liquidity and financing risks. In multi-PM platforms, they also evaluate pods and managers through risk-adjusted performance (P&amp;L) attribution, ensuring capital is deployed efficiently. Hedge fund risk teams are embedded in day-to-day portfolio oversight and act as both a guardrail against outsized exposures and a partner in optimizing risk budgets, ensuring the fund's returns are durable and driven by skill rather than uncontrolled risk.</t>
  </si>
  <si>
    <t xml:space="preserve">CRO, Compliance</t>
  </si>
  <si>
    <t xml:space="preserve">Risk Analysts, Quant Support, Performance Analytics, CTO/CIO, CDO</t>
  </si>
  <si>
    <t xml:space="preserve">Platform: RM, Barra One (incl. performance), BPM; Models Direct – Equity Models</t>
  </si>
  <si>
    <t xml:space="preserve">Compliance &amp; Reg. Reporting</t>
  </si>
  <si>
    <t xml:space="preserve">Enforces firm policies, monitors trading activity, and ensures adherence to global regulatory requirements. They prepare and submit filings such as Form PF, Form ADV, AIFMD Annex IV, MiFID II transaction reports, and CPO-PQR, while managing disclosures of large holdings and short positions. The team tracks evolving regulations across jurisdictions to keep the fund in continuous compliance, liaises with regulators during audits or examinations, and reviews fund communications to ensure compliance.</t>
  </si>
  <si>
    <t xml:space="preserve">Analysts, S&amp;C specialists, Performance Analytics, CTO/CIO, CDO</t>
  </si>
  <si>
    <t xml:space="preserve">Platform: RM, BPM (equity models), BPM (Analytics &amp; Software), BPM (Equity Models); ESG Ratings; ESG Screening; HF Risk Reporting</t>
  </si>
  <si>
    <t xml:space="preserve">IR</t>
  </si>
  <si>
    <t xml:space="preserve">Investor Relations</t>
  </si>
  <si>
    <t xml:space="preserve">Manages the relationship with current or prospective investors, acting as the primary point of contact for capital providers such as pensions, endowments, foundations, family offices, and funds of funds. They bridge the gap between portfolio managers and investors, ensuring effective communication, trust, and capital stability through transparent updates, client service, and strategic fundraising.</t>
  </si>
  <si>
    <t xml:space="preserve">Head of IR</t>
  </si>
  <si>
    <t xml:space="preserve">Client-facing team (Sales, Client Service)</t>
  </si>
  <si>
    <t xml:space="preserve">Platform: RM (services); HF Risk Reporting; Market Cap Indexes; Models Direct; ESG Ratings</t>
  </si>
  <si>
    <t xml:space="preserve">High</t>
  </si>
  <si>
    <t xml:space="preserve">Medium</t>
  </si>
  <si>
    <t xml:space="preserve">Low</t>
  </si>
  <si>
    <t xml:space="preserve">Unassigned</t>
  </si>
  <si>
    <t xml:space="preserve">MSCI Asset Managers — Use Case Lead Scoring Criteria</t>
  </si>
  <si>
    <t xml:space="preserve">Small &lt;$15B; Medium $15-100B; Large $100-500B; Very Large &gt;$500B</t>
  </si>
  <si>
    <t xml:space="preserve">Diversified Players; Standalone &amp; Pure Play; Bank Owned; Insurance Owned</t>
  </si>
  <si>
    <t xml:space="preserve">Investments; Risk &amp; Performance; Compliance &amp; Reg. Reporting; Sales Enablement</t>
  </si>
  <si>
    <t xml:space="preserve">Investments</t>
  </si>
  <si>
    <t xml:space="preserve">Refers to the management of active equity portfolios or mandates that use a fundamental stock selection investment process. Includes company research, sector/size/geography allocation, rebalance, performance analysis and fundamental L/S strategies.</t>
  </si>
  <si>
    <t xml:space="preserve">Platform: Barra One or BPM; EQ Index, Factor Model, S&amp;C data modules</t>
  </si>
  <si>
    <t xml:space="preserve">PM – EQ Quant</t>
  </si>
  <si>
    <t xml:space="preserve">Refers to the management of active portfolios or mandates that use a systematic or quantitative investment process. Includes identifying trends, signals and factors, optimization, rebalancing and frequent performance analysis, including quant. L/S strategies.</t>
  </si>
  <si>
    <t xml:space="preserve">Platform: BPM, Optimizer; EQ Index, Factor Model, S&amp;C data modules</t>
  </si>
  <si>
    <t xml:space="preserve">PM – EQ Indexed</t>
  </si>
  <si>
    <t xml:space="preserve">Refers to the management (monitoring, construction, optimization, rebalance, performance analysis) of equity indexed portfolios, either based on MSCI Indexes or not. This includes ETFs, SMAs, Indexed Mutual Funds, and Direct Indexing.</t>
  </si>
  <si>
    <t xml:space="preserve">Product Heads</t>
  </si>
  <si>
    <t xml:space="preserve">PMs, Product Managers</t>
  </si>
  <si>
    <t xml:space="preserve">Platform: BPM, Optimizer; EQ Index, Fund Licenses and data modules</t>
  </si>
  <si>
    <t xml:space="preserve">PM – Fixed Income</t>
  </si>
  <si>
    <t xml:space="preserve">Refers to the management (selection, monitoring, construction, optimization, rebalance, performance analysis) of Fixed Income portfolios, whether active or indexed. Excludes Private Credit or other types of private securities.</t>
  </si>
  <si>
    <t xml:space="preserve">Platform: Barra One; FI Index, Factor Model, S&amp;C data modules</t>
  </si>
  <si>
    <t xml:space="preserve">PM – Privates (LP)</t>
  </si>
  <si>
    <t xml:space="preserve">Refers to AMs acting as LPs, selecting, packaging and distributing 3rd party private asset funds. Strategies include Hedge Funds, Private Equity, Venture Capital, Private Credit, REITs, or Infrastructure Funds. The investment steps include manager selection, strategy allocation, capital planning, rebalancing and ongoing monitoring.</t>
  </si>
  <si>
    <t xml:space="preserve">Platform: Private I; PCS, RE data modules</t>
  </si>
  <si>
    <t xml:space="preserve">PM – MAC Solutions</t>
  </si>
  <si>
    <t xml:space="preserve">This refers to the construction, ongoing management and monitoring of multi-asset model portfolios. These portfolios are often customized for institutional investors, but also include Model Portfolios for Wealth, or Multi-Asset mutual funds.</t>
  </si>
  <si>
    <t xml:space="preserve">Platform: BarraOne; EQ/FI Index, MAC Factor Model, S&amp;C, PCS/RE data modules</t>
  </si>
  <si>
    <t xml:space="preserve">Risk Management</t>
  </si>
  <si>
    <t xml:space="preserve">This refers to the central risk function that ensures that the firm and individual portfolios are appropriately managed to a broad range of aspects, such as market risk, factor risk, climate risk, counterparty risk, operational and liquidity risk.</t>
  </si>
  <si>
    <t xml:space="preserve">Risk Analysts, Quant Support</t>
  </si>
  <si>
    <t xml:space="preserve">Platform: Risk Manager or Barra One; Risk and Factor Model modules, Liquidity Metrics, Climate data modules</t>
  </si>
  <si>
    <t xml:space="preserve">Performance</t>
  </si>
  <si>
    <t xml:space="preserve">This refers to the central performance function that provides performance analysis, attribution, and insights of all individual portfolios, rolled up at the firm level.</t>
  </si>
  <si>
    <t xml:space="preserve">Head of Performance</t>
  </si>
  <si>
    <t xml:space="preserve">Performance Analysts, PM support</t>
  </si>
  <si>
    <t xml:space="preserve">Platform: Risk Manager; Risk and Factor Model modules, Liquidity Metrics, Climate data modules</t>
  </si>
  <si>
    <t xml:space="preserve">Refers to ensuring compliance to mandate specifications and regulatory reporting, such as UCITS, Liquidity, SFDR, CSRD.</t>
  </si>
  <si>
    <t xml:space="preserve">CRO, CSO, Compliance</t>
  </si>
  <si>
    <t xml:space="preserve">Analysts, S&amp;C specialists</t>
  </si>
  <si>
    <t xml:space="preserve">Solution: Managed Services; S&amp;C, Risk and Liquidity Models data modules</t>
  </si>
  <si>
    <t xml:space="preserve">Sales Enablement</t>
  </si>
  <si>
    <t xml:space="preserve">SE – Wealth Segment</t>
  </si>
  <si>
    <t xml:space="preserve">Refers to the use of our products/services to support selling/servicing into Wealth managers. For example, providing Model Portfolios, Direct Indexing, and inclusion of our IP into analytical/reporting platforms provided to their clients.</t>
  </si>
  <si>
    <t xml:space="preserve">Head of Wealth Sales, Platform Head</t>
  </si>
  <si>
    <t xml:space="preserve">Client-facing team (Sales, Client Service), Product Managers</t>
  </si>
  <si>
    <t xml:space="preserve">Platform: Wealth Manager, Wealth Bench; EQ/FI/Private Index, Factor Model, S&amp;C data and reporting licenses</t>
  </si>
  <si>
    <t xml:space="preserve">SE – Institutional Investors</t>
  </si>
  <si>
    <t xml:space="preserve">Refers to the use of our products/services to support selling/servicing Institutional investors (AOs, Insurance Co). For example, portfolio performance reports, research updates, and inclusion of our IP into analytical/reporting platforms provided to their clients.</t>
  </si>
  <si>
    <t xml:space="preserve">Head of Institutional Sales, Platform Head</t>
  </si>
  <si>
    <t xml:space="preserve">Platform: TBD; EQ/FI/Private Index, Factor Model, S&amp;C data and reporting licenses</t>
  </si>
  <si>
    <t xml:space="preserve">SE – Retail Funds</t>
  </si>
  <si>
    <t xml:space="preserve">Refers to any use of our products/services that supports selling/servicing of mutual funds through their network (Direct, Redistributors, Retail Banks). For example, fund factsheets, research updates, and inclusion of our IP into analytical/reporting platforms provided to their clients.</t>
  </si>
  <si>
    <t xml:space="preserve">Head of Retail Distribution, Platform Head</t>
  </si>
  <si>
    <t xml:space="preserve">MSCI Asset Owners — Use Case Lead Scoring Criteria</t>
  </si>
  <si>
    <t xml:space="preserve">Sub-Segments &amp; Size-Tiers</t>
  </si>
  <si>
    <t xml:space="preserve">Public Institutions — Small &lt;$50B | Medium $50-300B | Large &gt;$300B (Wealth Funds, Central Banks &amp; Foreign Reserves, Multi-lateral &amp; Gov. Agencies); Pension Plans — Small &lt;$15B | Medium $15-40B | Large $50-1,000B | Very Large &gt;$100B (as stated in source deck; ranges overlap and should be verified with the deck owner); Private Institutions — Small &lt;$1B | Medium $1-5B | Large &gt;$5B (Endowments &amp; Foundations, Single Family Offices)</t>
  </si>
  <si>
    <t xml:space="preserve">Peer Groups (Pension Plans)</t>
  </si>
  <si>
    <t xml:space="preserve">Externally Managed only (~385 clients); Internally &amp; Externally Managed (~192 clients)</t>
  </si>
  <si>
    <t xml:space="preserve">Total Plan Investments; External Mgr. Selection – Public Securities; Portfolio Mgt. Alternatives; Risk &amp; Performance; Internal Portfolio Mgt. – Public Securities</t>
  </si>
  <si>
    <t xml:space="preserve">Client Intel field – Internally or Externally Managed (Public &amp; Private Institutions only)</t>
  </si>
  <si>
    <t xml:space="preserve">External-only / Internal &amp; External / Make no investments  —  Used as a classification work-around where CliCS peer-group data is unavailable for Public and Private Institutions, to call up the correct Benchmark Run Rate table. Per the source deck, this functionality was not yet available at launch; the default table was External-only.</t>
  </si>
  <si>
    <t xml:space="preserve">Decision Makers / Persona</t>
  </si>
  <si>
    <t xml:space="preserve">Total Plan Mgt</t>
  </si>
  <si>
    <t xml:space="preserve">TP – Asset Allocation</t>
  </si>
  <si>
    <t xml:space="preserve">This refers to the research and analytical process to make allocations and capital planning, to asset classes, regions and sectors, at the total portfolio level, to meet long-term risk and performance goals.</t>
  </si>
  <si>
    <t xml:space="preserve">CIO, PMs, Analysts</t>
  </si>
  <si>
    <t xml:space="preserve">Platform: BarraOne, Total Plan Manager; Data: Index (EQ, FI, Privates), Factor Model, S&amp;C modules</t>
  </si>
  <si>
    <t xml:space="preserve">TP – Risk &amp; Perf. Mgt</t>
  </si>
  <si>
    <t xml:space="preserve">Includes a) the central risk function that ensures that the firm and individual portfolios are appropriately managed to a broad range of aspects, such as market risk, factor risk, climate risk, counterparty risk, operational and liquidity risk, and b) the central performance function that provides performance analysis, attribution, and insights of all individual portfolios, rolled up at the firm level.</t>
  </si>
  <si>
    <t xml:space="preserve">CRO, Performance, Analysts</t>
  </si>
  <si>
    <t xml:space="preserve">Platform: Risk Manager, Total Plan, BarraOne; Data: Risk, Liquidity, Factor, Private models, Climate modules</t>
  </si>
  <si>
    <t xml:space="preserve">Reg &amp; Stakeholder Comm.</t>
  </si>
  <si>
    <t xml:space="preserve">This refers to the need to report to external parties, such as plan participants, stakeholders, external boards, portfolio companies, including mandatory or voluntary regulatory standards.</t>
  </si>
  <si>
    <t xml:space="preserve">Compliance, CSO</t>
  </si>
  <si>
    <t xml:space="preserve">Solution: Managed Services; Data: S&amp;C, Risk and Liquidity models, Index modules</t>
  </si>
  <si>
    <t xml:space="preserve">Internal Portfolio Mgt.</t>
  </si>
  <si>
    <t xml:space="preserve">Internal PM – Indexed EQ</t>
  </si>
  <si>
    <t xml:space="preserve">Refers to the internal management (monitoring, construction, optimization, rebalance, performance analysis) of equity indexed portfolios, either based on MSCI Indexes or not.</t>
  </si>
  <si>
    <t xml:space="preserve">CIO, Index PMs, Quant support</t>
  </si>
  <si>
    <t xml:space="preserve">Platform: BPM, Optimizer, Aegis, Direct Indexer, Foxberry; Data: EQ Index, EQ Factor Model, S&amp;C data modules</t>
  </si>
  <si>
    <t xml:space="preserve">Internal PM – Active EQ</t>
  </si>
  <si>
    <t xml:space="preserve">CIO, Quant PMs</t>
  </si>
  <si>
    <t xml:space="preserve">Platform: Barra One, BPM; Data: EQ Index, Factor Model, S&amp;C data modules</t>
  </si>
  <si>
    <t xml:space="preserve">Internal PM – Quant EQ</t>
  </si>
  <si>
    <t xml:space="preserve">CIO, PMs, Quant support</t>
  </si>
  <si>
    <t xml:space="preserve">Platform: BPM, Optimizer, Aegis; Data: EQ Index, Factor Model, S&amp;C data modules</t>
  </si>
  <si>
    <t xml:space="preserve">Internal PM – Fixed Income</t>
  </si>
  <si>
    <t xml:space="preserve">Platform: Barra One; Data: FI Index, Factor Model, S&amp;C data modules</t>
  </si>
  <si>
    <t xml:space="preserve">Internal PM – Direct Investments</t>
  </si>
  <si>
    <t xml:space="preserve">Refers to direct investments into private companies (equity or debt), private real estate, infrastructure and carbon projects.</t>
  </si>
  <si>
    <t xml:space="preserve">Not specified in source deck</t>
  </si>
  <si>
    <t xml:space="preserve">Platform: BarraOne, Total Plan Manager; Data: PCS modules</t>
  </si>
  <si>
    <t xml:space="preserve">Mgr Selection - Public</t>
  </si>
  <si>
    <t xml:space="preserve">External Mgrs. – EQ</t>
  </si>
  <si>
    <t xml:space="preserve">Refers to the selecting, due diligence, and ongoing monitoring (performance, tracking error, attribution, risk, mandate compliance) of external public equities managers. Includes SMAs, Funds, ETFs and Derivatives.</t>
  </si>
  <si>
    <t xml:space="preserve">CIO, Manager Research, External PM, Perf. Analysts, Quant Support</t>
  </si>
  <si>
    <t xml:space="preserve">Platform: BarraOne; Data: EQ Index, EQ Factor Model, S&amp;C data modules</t>
  </si>
  <si>
    <t xml:space="preserve">External Mgrs. – FI</t>
  </si>
  <si>
    <t xml:space="preserve">Same as External Mgrs. – EQ, but relating to Fixed Income. Excludes Private Credit or other types of private securities.</t>
  </si>
  <si>
    <t xml:space="preserve">Platform: BarraOne; Data: FI Index, FI Factor Model, S&amp;C data modules</t>
  </si>
  <si>
    <t xml:space="preserve">Mgr Selection - Alternatives</t>
  </si>
  <si>
    <t xml:space="preserve">External Mgrs. – Real Estate</t>
  </si>
  <si>
    <t xml:space="preserve">Refers to AOs acting as LPs, selecting, due diligence, and ongoing monitoring (performance, capital planning, IRR, attribution, risk, mandate compliance) of external RE managers.</t>
  </si>
  <si>
    <t xml:space="preserve">CIO, Head of Alts, Real Estate PM, Perf. Analysts</t>
  </si>
  <si>
    <t xml:space="preserve">Platform: Portfolio Insights; Data: RE modules</t>
  </si>
  <si>
    <t xml:space="preserve">External Mgrs. – Hedge Funds</t>
  </si>
  <si>
    <t xml:space="preserve">Same as External Mgrs. – Real Estate, but relating to Hedge Funds and/or Funds of Hedge Funds.</t>
  </si>
  <si>
    <t xml:space="preserve">CIO, Head of Alts, HF / FoHF PM, Perf. Analysts, Quant Support</t>
  </si>
  <si>
    <t xml:space="preserve">Platform: BarraOne, HedgePlatform; Data: Factor, Liquidity models</t>
  </si>
  <si>
    <t xml:space="preserve">External Mgrs. – Private Equity</t>
  </si>
  <si>
    <t xml:space="preserve">Same as External Mgrs. – Real Estate, but relating to Private Equity managers.</t>
  </si>
  <si>
    <t xml:space="preserve">CIO, Head of Alts, Private Assets PM, Perf. Analysts, Deal Analysts</t>
  </si>
  <si>
    <t xml:space="preserve">Platform: Total Plan Manager; Data: PCS modules</t>
  </si>
  <si>
    <t xml:space="preserve">External Mgrs. – Private Credit</t>
  </si>
  <si>
    <t xml:space="preserve">Same as External Mgrs. – Real Estate, but relating to Private Credit managers.</t>
  </si>
  <si>
    <t xml:space="preserve">External Mgrs. – Infrastructure</t>
  </si>
  <si>
    <t xml:space="preserve">Same as External Mgrs. – Real Estate, but relating to Infrastructure managers.</t>
  </si>
  <si>
    <t xml:space="preserve">MSCI Wealth — Use Case Lead Scoring Criteria</t>
  </si>
  <si>
    <t xml:space="preserve">Small &lt;$5B; Medium $5-50B; Large $50-250B; Very Large &gt;$250B</t>
  </si>
  <si>
    <t xml:space="preserve">Diversified Wealth; Pure-play Wealth; Self-Directed &amp; Robo Advisors; Multi-Family Offices (MFO)</t>
  </si>
  <si>
    <t xml:space="preserve">Due-Diligence Unit; Investments Unit; Risk &amp; Performance Unit; Advisors Unit; Self-Directed Platform Unit</t>
  </si>
  <si>
    <t xml:space="preserve">Due Diligence</t>
  </si>
  <si>
    <t xml:space="preserve">Product Due Diligence - Public</t>
  </si>
  <si>
    <t xml:space="preserve">Before making a public market product eligible for Model or Client portfolios, the Manager Selection team will run in-depth analysis on the investment strategy and performance results, typically using an analytics platform. These results will be evaluated by an investment committee before the product is put on an approved list and supported with education materials for financial advisors. Products are typically ETFs, 3rd party funds, and internally managed funds.</t>
  </si>
  <si>
    <t xml:space="preserve">CIO, Manager Research Team</t>
  </si>
  <si>
    <t xml:space="preserve">Platform: BarraOne; EQ/FI Index, Factor Model, S&amp;C data modules</t>
  </si>
  <si>
    <t xml:space="preserve">Product Due Diligence - ETFs</t>
  </si>
  <si>
    <t xml:space="preserve">Same as Product Due Diligence - Public, but this use case is supported by specialized coverage to provide additional education and analysis to the due diligence team to help them make informed decisions on their MSCI-linked ETF selection.</t>
  </si>
  <si>
    <t xml:space="preserve">Platform: BarraOne; EQ/FI Index, Factor Model, S&amp;C data module</t>
  </si>
  <si>
    <t xml:space="preserve">Product Due Diligence - Private</t>
  </si>
  <si>
    <t xml:space="preserve">Refers to Wealth acting as LPs, selecting and distributing 3rd party funds. Before making an investment product eligible for Model or Client portfolios, the Alts Manager Selection team will run in-depth analysis on the investment strategy and performance results, typically using a private markets analytics platform. These results will be evaluated by an investment committee before the product is put on an approved list and supported with education materials for financial advisors. Products are typically Hedge Funds, Private Equity, Venture Capital, Private Credit, REITs, or Infrastructure Funds.</t>
  </si>
  <si>
    <t xml:space="preserve">CIO, Head of Alts, Alts Research Team</t>
  </si>
  <si>
    <t xml:space="preserve">Platform: Private I and/or HF Platform; PCS, RE data modules</t>
  </si>
  <si>
    <t xml:space="preserve">Internal Investments</t>
  </si>
  <si>
    <t xml:space="preserve">MAC Model Portfolios</t>
  </si>
  <si>
    <t xml:space="preserve">This refers to the construction, ongoing management, rebalancing, and monitoring of multi-asset model portfolios of mutual funds and/or ETFs across various risk profiles that align to the strategic and tactical asset allocation guidance of the CIO. All funds or portfolios are pulled from the manager research approved menu.</t>
  </si>
  <si>
    <t xml:space="preserve">CIO, Home Office PMs, Advisors</t>
  </si>
  <si>
    <t xml:space="preserve">Internally Managed Active EQ Portfolios</t>
  </si>
  <si>
    <t xml:space="preserve">Refers to the management (monitoring, construction, optimization, rebalance, performance analysis) of discretionary equity model portfolios or mandates for specific clients, typically done in separately managed accounts (SMAs).</t>
  </si>
  <si>
    <t xml:space="preserve">CIO, Portfolio Manager</t>
  </si>
  <si>
    <t xml:space="preserve">Platform: BPM, QIS, Aegis; EQ Index, EQ Factor Model, S&amp;C data modules</t>
  </si>
  <si>
    <t xml:space="preserve">Internally Managed Active FI Portfolios</t>
  </si>
  <si>
    <t xml:space="preserve">Same as Internally Managed Active EQ Portfolios, but for Fixed Income portfolios.</t>
  </si>
  <si>
    <t xml:space="preserve">Platform: BarraOne; FI Index, FI Factor Model, S&amp;C data modules</t>
  </si>
  <si>
    <t xml:space="preserve">Internally Managed Indexed EQ Portfolios</t>
  </si>
  <si>
    <t xml:space="preserve">This refers to the management (monitoring, construction, optimization, rebalance, performance analysis) of equity indexed portfolios, either based on MSCI Indexes or not. This use case includes Direct Indexing, SMAs/DPMs, as well as any ETP issued by the wealth client. Typically comprises Portfolio Construction Analytics, market data and Indexes.</t>
  </si>
  <si>
    <t xml:space="preserve">Platform: BPM, Aegis, Direct Indexer, Foxberry; EQ Index, EQ Factor Model, S&amp;C data modules</t>
  </si>
  <si>
    <t xml:space="preserve">Internally Managed Indexed FI Portfolios</t>
  </si>
  <si>
    <t xml:space="preserve">Same as Internally Managed Indexed EQ Portfolios, but for Fixed Income portfolios.</t>
  </si>
  <si>
    <t xml:space="preserve">Platform: MSCI One Direct Indexer, Foxberry; FI Index, FI Factor Model, S&amp;C data modules</t>
  </si>
  <si>
    <t xml:space="preserve">Private Asset Portfolios (GP)</t>
  </si>
  <si>
    <t xml:space="preserve">This refers to Wealth acting as GPs, where they create proprietary private funds for distribution to their clients. Very few wealth firms operate in this space, but the largest ones are expected to expand notably in the private credit area.</t>
  </si>
  <si>
    <t xml:space="preserve">Private Asset or Alternative Portfolio Managers</t>
  </si>
  <si>
    <t xml:space="preserve">Retail Structured Products</t>
  </si>
  <si>
    <t xml:space="preserve">This refers to the creation of general or bespoke capital market products, such as structured products with targeted pay-outs, often based on baskets or Indexes, or other investments in carbon projects and/or trading carbon credits. These products are distributed through the wealth firm, but priced and structured by 3rd party investment banks or carbon marketplaces.</t>
  </si>
  <si>
    <t xml:space="preserve">Capital Markets, PDM</t>
  </si>
  <si>
    <t xml:space="preserve">Platform: MSCI One Direct Indexer, Foxberry; Index Data (Custom Indexes) + ABF License</t>
  </si>
  <si>
    <t xml:space="preserve">Risk Management - Enterprise</t>
  </si>
  <si>
    <t xml:space="preserve">This refers to the role of a central risk department to ensure that the firm's book is compliant with relevant regulation, and to manage treasury, liquidity and other risk measures (e.g. VaR), plus client account dispersion.</t>
  </si>
  <si>
    <t xml:space="preserve">Platform: Risk Manager; Risk and Factor Model data modules, Liquidity Metrics, Climate data modules</t>
  </si>
  <si>
    <t xml:space="preserve">Risk Management – Counterparty &amp; Loans</t>
  </si>
  <si>
    <t xml:space="preserve">This refers to the role of a central risk department to monitor and scrutinize counterparty risk (e.g. Brokers, Exchanges, Clients) and monitor loan book exposures.</t>
  </si>
  <si>
    <t xml:space="preserve">Platform: Risk Manager; Loan data module</t>
  </si>
  <si>
    <t xml:space="preserve">Regulatory Reporting</t>
  </si>
  <si>
    <t xml:space="preserve">The need for firms to report activities against specific regulatory standards. Examples: MiFID, TCFD, SFDR, CSRD regulatory reporting.</t>
  </si>
  <si>
    <t xml:space="preserve">CRO, Compliance, CSO</t>
  </si>
  <si>
    <t xml:space="preserve">Client Relationship Mgt</t>
  </si>
  <si>
    <t xml:space="preserve">Client Reporting</t>
  </si>
  <si>
    <t xml:space="preserve">This refers to any reports, statements, marketing, or educational materials that are sent to clients or to the general public. These can be sent systematically to clients, or through more ad-hoc general marketing and media. This activity serves sales enablement and client retention goals.</t>
  </si>
  <si>
    <t xml:space="preserve">Client-facing Advisors, Support Teams, Tech Platform leads</t>
  </si>
  <si>
    <t xml:space="preserve">Platform: Managed Services, RM Web services; Index, Factor Model, S&amp;C, PCS/RE data modules</t>
  </si>
  <si>
    <t xml:space="preserve">Client Account Portfolio Management</t>
  </si>
  <si>
    <t xml:space="preserve">This refers to the overall monitoring and management of client accounts. In some cases, this is performed by the Advisors alone; in others, the home office portfolio management team ingests client positions from a portfolio reporting platform (e.g. Orion, Addepar) and manages the portfolios on behalf of the advisors, seeking to move a client account to an off-the-shelf Model portfolio or internally managed portfolio.</t>
  </si>
  <si>
    <t xml:space="preserve">Portfolio Management Team, Advisors, Investment Product Managers, Advisor tech platform lead</t>
  </si>
  <si>
    <t xml:space="preserve">Platform: MSCI Wealth Manager; Index, Factor Model, S&amp;C, PCS/RE data modules</t>
  </si>
  <si>
    <t xml:space="preserve">Proposal Generation</t>
  </si>
  <si>
    <t xml:space="preserve">Once the advisor performs a client portfolio analysis, the client-facing advisor creates a detailed, yet easy to explain, investment proposal to gain alignment with their client before it can be executed.</t>
  </si>
  <si>
    <t xml:space="preserve">Client-facing Advisors, Investment Product Manager, Advisor tech platform lead</t>
  </si>
  <si>
    <t xml:space="preserve">MSCI Banks — Use Case Lead Scoring Criteria</t>
  </si>
  <si>
    <t xml:space="preserve">Size-Tiers (Balance Sheet)</t>
  </si>
  <si>
    <t xml:space="preserve">Small &lt;$1B; Medium $1-10B; Large $10-1,000B; Very Large &gt;$1,000B</t>
  </si>
  <si>
    <t xml:space="preserve">Global Banks (&gt;20% balance sheet/revenue ex Home region); Local &amp; Regional Banks (&lt;20% ex Home region); Brokerages; Boutiques; Lenders &amp; Originators</t>
  </si>
  <si>
    <t xml:space="preserve">Sub-Segments</t>
  </si>
  <si>
    <t xml:space="preserve">Proprietary Market Makers; Asset Servicers &amp; Custodians</t>
  </si>
  <si>
    <t xml:space="preserve">Note</t>
  </si>
  <si>
    <t xml:space="preserve">Starting Q1, Global/Regional Bank opportunities are further split into Broker Dealers (use cases serving Investors) and Banks as Principal (use cases serving Corporates). Per the source deck, Asset Servicers &amp; Custodians are benchmarked by product line only (no Use Case breakdown provided), and Boutiques / Lenders &amp; Originators require further CliCS review before a Use Case breakdown can be produced; none of these three groups are represented as rows below.</t>
  </si>
  <si>
    <t xml:space="preserve">Peer Group / Sub-Segment</t>
  </si>
  <si>
    <t xml:space="preserve">#</t>
  </si>
  <si>
    <t xml:space="preserve">Banks (Global/Regional)</t>
  </si>
  <si>
    <t xml:space="preserve">Sales &amp; Trading</t>
  </si>
  <si>
    <t xml:space="preserve">1</t>
  </si>
  <si>
    <t xml:space="preserve">Sales</t>
  </si>
  <si>
    <t xml:space="preserve">Sales teams serve institutional investors' trading, structuring, and financing needs, partnering with QIS, Research, and Trading to deliver trade ideas and tailored solutions. MSCI indexes, factor models, and S&amp;C data provide consistent market context and risk insight that support client engagement and flow.</t>
  </si>
  <si>
    <t xml:space="preserve">Head of Sales, Regional Sales Heads, Product Specialists</t>
  </si>
  <si>
    <t xml:space="preserve">Equity Sales, Derivatives Sales, Index Sales Specialists</t>
  </si>
  <si>
    <t xml:space="preserve">MSCI Indexes (equity, thematic, factor, Real Time), Barra Factor Models, ESG/Climate Data, Analytics (portfolio analysis tools)</t>
  </si>
  <si>
    <t xml:space="preserve">2</t>
  </si>
  <si>
    <t xml:space="preserve">Quant Strategies (QIS)</t>
  </si>
  <si>
    <t xml:space="preserve">QIS teams design and manage systematic, rules-based strategies and proprietary indexes that express investment views for structured products and investable underlyings. MSCI indexes, factor models, S&amp;C data, and Analytics provide the quantitative/risk framework for strategy design, back-testing, and performance monitoring.</t>
  </si>
  <si>
    <t xml:space="preserve">Head of QIS, CIO of Systematic Strategies, Head of Index Solutions</t>
  </si>
  <si>
    <t xml:space="preserve">Quantitative Strategists, Index Designers, Systematic Portfolio Managers, Structurers</t>
  </si>
  <si>
    <t xml:space="preserve">MSCI Indexes (full constituent/methodology data), Barra Factor Models, Analytics (back-testing, optimization), Index Calculation Services / Custom Indexes</t>
  </si>
  <si>
    <t xml:space="preserve">3</t>
  </si>
  <si>
    <t xml:space="preserve">OTC Derivatives</t>
  </si>
  <si>
    <t xml:space="preserve">OTC desks structure, price, and manage bespoke derivative exposures across asset classes to meet clients' hedging, yield, and risk-transfer needs. Uses MSCI Index, Factor, and S&amp;C data for underlying calibration and scenario analysis, while Analytics supports valuation, risk measurement, and performance monitoring.</t>
  </si>
  <si>
    <t xml:space="preserve">Head of OTC Derivatives, Head of Equity Derivatives Trading</t>
  </si>
  <si>
    <t xml:space="preserve">Derivatives Traders, Exotic Structurers, Pricing Quants, Hedge Managers</t>
  </si>
  <si>
    <t xml:space="preserve">MSCI Indexes, Barra Factor Models (risk decomposition), Analytics (scenario analysis, VaR), ESG/Climate Data (for ESG derivatives)</t>
  </si>
  <si>
    <t xml:space="preserve">4</t>
  </si>
  <si>
    <t xml:space="preserve">Research</t>
  </si>
  <si>
    <t xml:space="preserve">Research teams generate market, macro, and thematic insights to support Sales, Trading, and clients with data-driven investment ideas. Uses MSCI Indexes, factor models, and S&amp;C data to analyze performance drivers, quantify risks, and forecast index rebalancing.</t>
  </si>
  <si>
    <t xml:space="preserve">Head of Equity Research, Chief Equity Strategist, Head of Index Research</t>
  </si>
  <si>
    <t xml:space="preserve">Equity Strategists, Thematic Analysts, Quantitative Researchers, Basket Research Teams, Index Research</t>
  </si>
  <si>
    <t xml:space="preserve">MSCI Indexes (performance benchmarks; index data for rebalance prediction), Barra Factor Models, ESG/Climate Data, Analytics (attribution, screening tools)</t>
  </si>
  <si>
    <t xml:space="preserve">5</t>
  </si>
  <si>
    <t xml:space="preserve">Structured Products</t>
  </si>
  <si>
    <t xml:space="preserve">Design and deliver customized investment solutions or baskets that combine derivatives (options, swaps, forwards) with index exposures to meet clients' yield, protection, or thematic objectives. Uses MSCI Indexes and S&amp;C data as underlying, factor models for scenario and sensitivity analysis, Analytics for pricing, risk measurement, and lifecycle management.</t>
  </si>
  <si>
    <t xml:space="preserve">Head of Structured Products, Head of Equity Structuring</t>
  </si>
  <si>
    <t xml:space="preserve">Equity Structurers, Product Designers, Quant Analysts, Client Solutions Teams</t>
  </si>
  <si>
    <t xml:space="preserve">MSCI Indexes (underliers for notes), Barra Factor Models (risk/scenario analysis), ESG/Climate Data (ESG-linked products), Analytics (pricing, lifecycle management)</t>
  </si>
  <si>
    <t xml:space="preserve">7</t>
  </si>
  <si>
    <t xml:space="preserve">Market Making</t>
  </si>
  <si>
    <t xml:space="preserve">Market Making desks provide liquidity and facilitate client execution across cash and derivative markets, managing inventory and hedging risk in real time. Uses MSCI Index, Factor and S&amp;C data to understand and hedge exposures, and Analytics for pricing, risk attribution, and stress testing across trading books.</t>
  </si>
  <si>
    <t xml:space="preserve">Head of Market Making, Head of Delta-One Trading, Head of ETF Trading</t>
  </si>
  <si>
    <t xml:space="preserve">ETF Market Makers, Delta-One Traders, Program Traders, Basket Traders, Algorithmic Traders</t>
  </si>
  <si>
    <t xml:space="preserve">MSCI Indexes (constituent data, rebalance calendars, corporate actions), Barra Factor Models (real-time risk, hedge optimization), Analytics (tracking error, optimizer)</t>
  </si>
  <si>
    <t xml:space="preserve">8</t>
  </si>
  <si>
    <t xml:space="preserve">Securities Lending</t>
  </si>
  <si>
    <t xml:space="preserve">Securities Lending desks generate yield and support market liquidity by lending securities to counterparties for short selling, financing, or collateral transformation. Rely primarily on Risk Manager to monitor exposure, concentration, and counterparty risk across portfolios, while Index and Sustainability &amp; Climate data provide secondary inputs for benchmarking and collateral policy alignment.</t>
  </si>
  <si>
    <t xml:space="preserve">Head of Securities Lending, Head of Prime Brokerage Finance</t>
  </si>
  <si>
    <t xml:space="preserve">Securities Lending Traders, Collateral Managers, Prime Finance Teams</t>
  </si>
  <si>
    <t xml:space="preserve">Risk Manager (exposure monitoring), Risk Transparency Report – Hedge Funds</t>
  </si>
  <si>
    <t xml:space="preserve">Capital Mkts</t>
  </si>
  <si>
    <t xml:space="preserve">9</t>
  </si>
  <si>
    <t xml:space="preserve">Capital Markets</t>
  </si>
  <si>
    <t xml:space="preserve">Originate, structure, and distribute equity and debt offerings, helping issuers raise capital and investors access new opportunities. Uses MSCI Analytics to assess market conditions, risk, and investor positioning, while Index and S&amp;C data provide benchmarks and context for product structuring and investor communication.</t>
  </si>
  <si>
    <t xml:space="preserve">CIB &amp; Advisory</t>
  </si>
  <si>
    <t xml:space="preserve">10</t>
  </si>
  <si>
    <t xml:space="preserve">Investment Banking &amp; Advisory</t>
  </si>
  <si>
    <t xml:space="preserve">Provide strategic and financial advice on M&amp;A, restructurings and capital raising. Mostly uses MSCI S&amp;C data to assess risks. Index and Analytics complement this by providing market benchmarks, sector insights, and risk context for valuation and portfolio impact analysis.</t>
  </si>
  <si>
    <t xml:space="preserve">Head of M&amp;A, Head of Corporate Finance Advisory</t>
  </si>
  <si>
    <t xml:space="preserve">M&amp;A Advisors, Restructuring Advisors, Strategic Advisory Teams, Valuation Specialists</t>
  </si>
  <si>
    <t xml:space="preserve">ESG/Climate Data (risk assessment, valuation impact), Provisional ratings ahead of IPO</t>
  </si>
  <si>
    <t xml:space="preserve">Lending</t>
  </si>
  <si>
    <t xml:space="preserve">11</t>
  </si>
  <si>
    <t xml:space="preserve">Commercial Lending</t>
  </si>
  <si>
    <t xml:space="preserve">Provide financing solutions to corporates and institutions through loans, credit facilities, and project finance. Primarily uses MSCI S&amp;C data to assess borrowers' exposure to physical and transition risks, with MSCI Analytics supporting portfolio monitoring, credit risk assessment, and regulatory reporting.</t>
  </si>
  <si>
    <t xml:space="preserve">Head of Commercial Banking, Chief Credit Officer (Commercial)</t>
  </si>
  <si>
    <t xml:space="preserve">Relationship Managers, Credit Analysts, Portfolio Managers (lending), Risk Officers</t>
  </si>
  <si>
    <t xml:space="preserve">ESG/Climate Data (transition risk, physical risk assessment), Analytics (portfolio monitoring, credit risk), potentially Risk Manager for larger portfolios</t>
  </si>
  <si>
    <t xml:space="preserve">Risk Mgt</t>
  </si>
  <si>
    <t xml:space="preserve">12</t>
  </si>
  <si>
    <t xml:space="preserve">Enterprise &amp; Market Risk</t>
  </si>
  <si>
    <t xml:space="preserve">Monitor and manage market, liquidity, and balance sheet risks across trading and banking books. Uses Risk Mgr and S&amp;C data for exposure measurement, stress testing, scenario analysis, and climate risk, supported by factor model and Index data for calibration and benchmarking.</t>
  </si>
  <si>
    <t xml:space="preserve">Chief Risk Officer, Head of Market Risk, Head of Enterprise Risk</t>
  </si>
  <si>
    <t xml:space="preserve">Market Risk Managers, Enterprise Risk Analysts, Stress Testing Teams, Model Validation</t>
  </si>
  <si>
    <t xml:space="preserve">Risk Manager (primary platform), Barra Factor Models (exposure decomposition; fixed income models, incl. sec. prods), ESG/Climate Data (climate stress testing)</t>
  </si>
  <si>
    <t xml:space="preserve">13</t>
  </si>
  <si>
    <t xml:space="preserve">Credit Risk</t>
  </si>
  <si>
    <t xml:space="preserve">Assess and manage counterparty and borrower default risk across trading and lending portfolios. Uses Credit Mgr, Risk Mgr and S&amp;C data to evaluate credit exposures to physical and transition risks, perform credit migration analysis, and stress test under adverse scenarios.</t>
  </si>
  <si>
    <t xml:space="preserve">Chief Credit Officer, Head of Credit Risk</t>
  </si>
  <si>
    <t xml:space="preserve">Credit Risk Managers, Credit Analysts, Portfolio Risk Teams, Stress Testing</t>
  </si>
  <si>
    <t xml:space="preserve">Credit Manager, Risk Manager (for market component), ESG/Climate Data (transition/physical risk), potentially Analytics for migration analysis</t>
  </si>
  <si>
    <t xml:space="preserve">14</t>
  </si>
  <si>
    <t xml:space="preserve">Regulatory &amp; Stakeholder Reporting</t>
  </si>
  <si>
    <t xml:space="preserve">Produce regulatory and stakeholder disclosures covering capital, liquidity, risk, and climate requirements (FRTB, TCFD, Basel). Often uses Managed Services alongside Risk Mgr and S&amp;C data to ensure data consistency, transparency, and auditability across reporting frameworks.</t>
  </si>
  <si>
    <t xml:space="preserve">Chief Risk Officer, Head of Regulatory Reporting, CFO</t>
  </si>
  <si>
    <t xml:space="preserve">Regulatory Reporting Teams, Risk Data Teams, Compliance, ESG Reporting Teams</t>
  </si>
  <si>
    <t xml:space="preserve">Risk Manager (primary; FRTB, Basel, IRRBB), Risk Transparency Report – Hedge Funds, ESG/Climate Data (TCFD, EU Taxonomy, climate disclosures)</t>
  </si>
  <si>
    <t xml:space="preserve">Treasury</t>
  </si>
  <si>
    <t xml:space="preserve">15</t>
  </si>
  <si>
    <t xml:space="preserve">Manage the bank's funding, liquidity, and capital to optimize balance sheet efficiency and regulatory ratios. Uses Risk Mgr to monitor interest rate, liquidity, and concentration risks, and sometimes S&amp;C data.</t>
  </si>
  <si>
    <t xml:space="preserve">Treasurer, Head of ALM, Head of Funding &amp; Liquidity</t>
  </si>
  <si>
    <t xml:space="preserve">Treasury Analysts, ALM Managers, Funding Desk, Capital Management</t>
  </si>
  <si>
    <t xml:space="preserve">Risk Manager (interest rate, liquidity, concentration risk), new ALM module</t>
  </si>
  <si>
    <t xml:space="preserve">Proprietary Market Makers</t>
  </si>
  <si>
    <t xml:space="preserve">Index Arbitrage</t>
  </si>
  <si>
    <t xml:space="preserve">Trade index-related mispricings across cash equities, index-linked ETFs and derivatives, with a focus on forecasting and positioning around index rebalancing events. Uses MSCI Index data to anticipate index changes, estimate constituent-level flows, and factor models to inform pricing and execution strategies across correlated instruments.</t>
  </si>
  <si>
    <t xml:space="preserve">Quant Trading Strategies</t>
  </si>
  <si>
    <t xml:space="preserve">Develop and execute systematic trading strategies that enhance market-making efficiency and capture short-term signals such as momentum, relative value, and volatility dynamics. Uses MSCI factor models, Index data, and Analytics to calibrate signals, manage factor hedging, and perform portfolio-level risk decomposition, ensuring consistent and data-driven trading decisions across books.</t>
  </si>
  <si>
    <t xml:space="preserve">Enterprise Risk</t>
  </si>
  <si>
    <t xml:space="preserve">Aggregate and monitor risk across proprietary trading portfolios to assess exposures, concentrations, and liquidity, and to support capital allocation decisions. Uses MSCI Analytics and factor models for portfolio-level risk decomposition, scenario analysis, and stress testing, providing a consistent view of market, factor, liquidity, and capital risks across desks and asset classes.</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</si>
</sst>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name val="Arial"/>
      <family val="0"/>
      <charset val="1"/>
    </font>
    <font>
      <b val="true"/>
      <sz val="10"/>
      <color rgb="FF1F3864"/>
      <name val="Arial"/>
      <family val="0"/>
      <charset val="1"/>
    </font>
    <font>
      <sz val="10"/>
      <name val="Arial"/>
      <family val="0"/>
      <charset val="1"/>
    </font>
    <font>
      <i val="true"/>
      <sz val="9"/>
      <name val="Arial"/>
      <family val="0"/>
      <charset val="1"/>
    </font>
    <font>
      <b val="true"/>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24" hidden="false" customHeight="true" outlineLevel="0" collapsed="false">
      <c r="A1" s="1" t="s">
        <v>0</v>
      </c>
    </row>
    <row r="3" customFormat="false" ht="15" hidden="false" customHeight="false" outlineLevel="0" collapsed="false">
      <c r="A3" s="2" t="s">
        <v>1</v>
      </c>
    </row>
    <row r="4" customFormat="false" ht="15" hidden="false" customHeight="false" outlineLevel="0" collapsed="false">
      <c r="A4" s="2" t="s">
        <v>2</v>
      </c>
    </row>
    <row r="6" customFormat="false" ht="15" hidden="false" customHeight="false" outlineLevel="0" collapsed="false">
      <c r="A6" s="3" t="s">
        <v>3</v>
      </c>
    </row>
    <row r="7" customFormat="false" ht="45" hidden="false" customHeight="true" outlineLevel="0" collapsed="false">
      <c r="A7" s="4" t="s">
        <v>4</v>
      </c>
    </row>
    <row r="9" customFormat="false" ht="15" hidden="false" customHeight="false" outlineLevel="0" collapsed="false">
      <c r="A9" s="3" t="s">
        <v>5</v>
      </c>
    </row>
    <row r="10" customFormat="false" ht="45" hidden="false" customHeight="true" outlineLevel="0" collapsed="false">
      <c r="A10" s="4" t="s">
        <v>6</v>
      </c>
    </row>
    <row r="12" customFormat="false" ht="15" hidden="false" customHeight="false" outlineLevel="0" collapsed="false">
      <c r="A12" s="3" t="s">
        <v>7</v>
      </c>
    </row>
    <row r="13" customFormat="false" ht="45" hidden="false" customHeight="true" outlineLevel="0" collapsed="false">
      <c r="A13" s="4" t="s">
        <v>8</v>
      </c>
    </row>
    <row r="15" customFormat="false" ht="15" hidden="false" customHeight="false" outlineLevel="0" collapsed="false">
      <c r="A15" s="3" t="s">
        <v>9</v>
      </c>
    </row>
    <row r="16" customFormat="false" ht="45" hidden="false" customHeight="true" outlineLevel="0" collapsed="false">
      <c r="A16" s="4" t="s">
        <v>10</v>
      </c>
    </row>
    <row r="18" customFormat="false" ht="15" hidden="false" customHeight="false" outlineLevel="0" collapsed="false">
      <c r="A18" s="3" t="s">
        <v>11</v>
      </c>
    </row>
    <row r="19" customFormat="false" ht="45" hidden="false" customHeight="true" outlineLevel="0" collapsed="false">
      <c r="A19" s="4" t="s">
        <v>12</v>
      </c>
    </row>
    <row r="21" customFormat="false" ht="15" hidden="false" customHeight="false" outlineLevel="0" collapsed="false">
      <c r="A21" s="3" t="s">
        <v>13</v>
      </c>
    </row>
    <row r="22" customFormat="false" ht="30" hidden="false" customHeight="true" outlineLevel="0" collapsed="false">
      <c r="A22" s="4" t="s">
        <v>14</v>
      </c>
    </row>
    <row r="23" customFormat="false" ht="30" hidden="false" customHeight="true" outlineLevel="0" collapsed="false">
      <c r="A23" s="4" t="s">
        <v>15</v>
      </c>
    </row>
    <row r="24" customFormat="false" ht="30" hidden="false" customHeight="true" outlineLevel="0" collapsed="false">
      <c r="A24" s="4" t="s">
        <v>16</v>
      </c>
    </row>
    <row r="25" customFormat="false" ht="30" hidden="false" customHeight="true" outlineLevel="0" collapsed="false">
      <c r="A25" s="4" t="s">
        <v>17</v>
      </c>
    </row>
    <row r="26" customFormat="false" ht="30" hidden="false" customHeight="true" outlineLevel="0" collapsed="false">
      <c r="A26" s="4" t="s">
        <v>18</v>
      </c>
    </row>
    <row r="28" customFormat="false" ht="15" hidden="false" customHeight="false" outlineLevel="0" collapsed="false">
      <c r="A28" s="3" t="s">
        <v>19</v>
      </c>
    </row>
    <row r="29" customFormat="false" ht="15" hidden="false" customHeight="false" outlineLevel="0" collapsed="false">
      <c r="A29" s="5" t="s">
        <v>20</v>
      </c>
    </row>
    <row r="30" customFormat="false" ht="15" hidden="false" customHeight="false" outlineLevel="0" collapsed="false">
      <c r="A30" s="5" t="s">
        <v>21</v>
      </c>
    </row>
    <row r="31" customFormat="false" ht="15" hidden="false" customHeight="false" outlineLevel="0" collapsed="false">
      <c r="A31" s="5" t="s">
        <v>22</v>
      </c>
    </row>
    <row r="32" customFormat="false" ht="15" hidden="false" customHeight="false" outlineLevel="0" collapsed="false">
      <c r="A32" s="5" t="s">
        <v>23</v>
      </c>
    </row>
    <row r="33" customFormat="false" ht="15" hidden="false" customHeight="false" outlineLevel="0" collapsed="false">
      <c r="A33" s="5"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2"/>
    <col collapsed="false" customWidth="true" hidden="false" outlineLevel="0" max="4" min="4" style="0" width="26"/>
    <col collapsed="false" customWidth="true" hidden="false" outlineLevel="0" max="5" min="5" style="0" width="30"/>
    <col collapsed="false" customWidth="true" hidden="false" outlineLevel="0" max="6" min="6" style="0" width="42"/>
    <col collapsed="false" customWidth="true" hidden="false" outlineLevel="0" max="7" min="7" style="0" width="12"/>
    <col collapsed="false" customWidth="true" hidden="false" outlineLevel="0" max="8" min="8" style="0" width="26"/>
  </cols>
  <sheetData>
    <row r="1" customFormat="false" ht="24" hidden="false" customHeight="true" outlineLevel="0" collapsed="false">
      <c r="A1" s="6" t="s">
        <v>25</v>
      </c>
      <c r="B1" s="6"/>
      <c r="C1" s="6"/>
      <c r="D1" s="6"/>
      <c r="E1" s="6"/>
      <c r="F1" s="6"/>
      <c r="G1" s="6"/>
      <c r="H1" s="6"/>
    </row>
    <row r="2" customFormat="false" ht="15" hidden="false" customHeight="false" outlineLevel="0" collapsed="false">
      <c r="A2" s="7" t="s">
        <v>26</v>
      </c>
    </row>
    <row r="4" customFormat="false" ht="15" hidden="false" customHeight="false" outlineLevel="0" collapsed="false">
      <c r="A4" s="3" t="s">
        <v>27</v>
      </c>
    </row>
    <row r="5" customFormat="false" ht="30" hidden="false" customHeight="true" outlineLevel="0" collapsed="false">
      <c r="A5" s="8" t="s">
        <v>28</v>
      </c>
      <c r="B5" s="9" t="s">
        <v>29</v>
      </c>
      <c r="C5" s="9"/>
      <c r="D5" s="9"/>
      <c r="E5" s="9"/>
      <c r="F5" s="9"/>
      <c r="G5" s="9"/>
      <c r="H5" s="9"/>
    </row>
    <row r="6" customFormat="false" ht="30" hidden="false" customHeight="true" outlineLevel="0" collapsed="false">
      <c r="A6" s="8" t="s">
        <v>30</v>
      </c>
      <c r="B6" s="9" t="s">
        <v>31</v>
      </c>
      <c r="C6" s="9"/>
      <c r="D6" s="9"/>
      <c r="E6" s="9"/>
      <c r="F6" s="9"/>
      <c r="G6" s="9"/>
      <c r="H6" s="9"/>
    </row>
    <row r="7" customFormat="false" ht="30" hidden="false" customHeight="true" outlineLevel="0" collapsed="false">
      <c r="A7" s="8" t="s">
        <v>32</v>
      </c>
      <c r="B7" s="9" t="s">
        <v>33</v>
      </c>
      <c r="C7" s="9"/>
      <c r="D7" s="9"/>
      <c r="E7" s="9"/>
      <c r="F7" s="9"/>
      <c r="G7" s="9"/>
      <c r="H7" s="9"/>
    </row>
    <row r="9" customFormat="false" ht="30" hidden="false" customHeight="true" outlineLevel="0" collapsed="false">
      <c r="A9" s="10" t="s">
        <v>34</v>
      </c>
      <c r="B9" s="10" t="s">
        <v>35</v>
      </c>
      <c r="C9" s="10" t="s">
        <v>36</v>
      </c>
      <c r="D9" s="10" t="s">
        <v>37</v>
      </c>
      <c r="E9" s="10" t="s">
        <v>38</v>
      </c>
      <c r="F9" s="10" t="s">
        <v>39</v>
      </c>
      <c r="G9" s="10" t="s">
        <v>40</v>
      </c>
      <c r="H9" s="10" t="s">
        <v>41</v>
      </c>
    </row>
    <row r="10" customFormat="false" ht="60" hidden="false" customHeight="true" outlineLevel="0" collapsed="false">
      <c r="A10" s="11" t="s">
        <v>42</v>
      </c>
      <c r="B10" s="11" t="s">
        <v>43</v>
      </c>
      <c r="C10" s="12" t="s">
        <v>44</v>
      </c>
      <c r="D10" s="12" t="s">
        <v>45</v>
      </c>
      <c r="E10" s="12" t="s">
        <v>46</v>
      </c>
      <c r="F10" s="12" t="s">
        <v>47</v>
      </c>
      <c r="G10" s="13"/>
      <c r="H10" s="12"/>
    </row>
    <row r="11" customFormat="false" ht="60" hidden="false" customHeight="true" outlineLevel="0" collapsed="false">
      <c r="A11" s="11"/>
      <c r="B11" s="11" t="s">
        <v>48</v>
      </c>
      <c r="C11" s="12" t="s">
        <v>49</v>
      </c>
      <c r="D11" s="12" t="s">
        <v>45</v>
      </c>
      <c r="E11" s="12" t="s">
        <v>50</v>
      </c>
      <c r="F11" s="12" t="s">
        <v>51</v>
      </c>
      <c r="G11" s="13"/>
      <c r="H11" s="12"/>
    </row>
    <row r="12" customFormat="false" ht="60" hidden="false" customHeight="true" outlineLevel="0" collapsed="false">
      <c r="A12" s="11"/>
      <c r="B12" s="11" t="s">
        <v>52</v>
      </c>
      <c r="C12" s="12" t="s">
        <v>53</v>
      </c>
      <c r="D12" s="12" t="s">
        <v>45</v>
      </c>
      <c r="E12" s="12" t="s">
        <v>54</v>
      </c>
      <c r="F12" s="12" t="s">
        <v>55</v>
      </c>
      <c r="G12" s="13"/>
      <c r="H12" s="12"/>
    </row>
    <row r="13" customFormat="false" ht="60" hidden="false" customHeight="true" outlineLevel="0" collapsed="false">
      <c r="A13" s="11"/>
      <c r="B13" s="11" t="s">
        <v>56</v>
      </c>
      <c r="C13" s="12" t="s">
        <v>57</v>
      </c>
      <c r="D13" s="12" t="s">
        <v>58</v>
      </c>
      <c r="E13" s="12" t="s">
        <v>59</v>
      </c>
      <c r="F13" s="12" t="s">
        <v>60</v>
      </c>
      <c r="G13" s="13"/>
      <c r="H13" s="12"/>
    </row>
    <row r="14" customFormat="false" ht="60" hidden="false" customHeight="true" outlineLevel="0" collapsed="false">
      <c r="A14" s="11" t="s">
        <v>61</v>
      </c>
      <c r="B14" s="11" t="s">
        <v>62</v>
      </c>
      <c r="C14" s="12" t="s">
        <v>63</v>
      </c>
      <c r="D14" s="12" t="s">
        <v>64</v>
      </c>
      <c r="E14" s="12" t="s">
        <v>65</v>
      </c>
      <c r="F14" s="12" t="s">
        <v>66</v>
      </c>
      <c r="G14" s="13"/>
      <c r="H14" s="12"/>
    </row>
    <row r="15" customFormat="false" ht="60" hidden="false" customHeight="true" outlineLevel="0" collapsed="false">
      <c r="A15" s="11"/>
      <c r="B15" s="11" t="s">
        <v>67</v>
      </c>
      <c r="C15" s="12" t="s">
        <v>68</v>
      </c>
      <c r="D15" s="12" t="s">
        <v>64</v>
      </c>
      <c r="E15" s="12" t="s">
        <v>69</v>
      </c>
      <c r="F15" s="12" t="s">
        <v>70</v>
      </c>
      <c r="G15" s="13"/>
      <c r="H15" s="12"/>
    </row>
    <row r="16" customFormat="false" ht="60" hidden="false" customHeight="true" outlineLevel="0" collapsed="false">
      <c r="A16" s="11" t="s">
        <v>71</v>
      </c>
      <c r="B16" s="11" t="s">
        <v>72</v>
      </c>
      <c r="C16" s="12" t="s">
        <v>73</v>
      </c>
      <c r="D16" s="12" t="s">
        <v>74</v>
      </c>
      <c r="E16" s="12" t="s">
        <v>75</v>
      </c>
      <c r="F16" s="12" t="s">
        <v>76</v>
      </c>
      <c r="G16" s="13"/>
      <c r="H16" s="12"/>
    </row>
    <row r="18" customFormat="false" ht="15" hidden="false" customHeight="false" outlineLevel="0" collapsed="false">
      <c r="A18" s="14" t="s">
        <v>9</v>
      </c>
      <c r="B18" s="15" t="s">
        <v>77</v>
      </c>
      <c r="C18" s="15" t="s">
        <v>78</v>
      </c>
      <c r="D18" s="15" t="s">
        <v>79</v>
      </c>
      <c r="E18" s="15" t="s">
        <v>80</v>
      </c>
    </row>
    <row r="19" customFormat="false" ht="15" hidden="false" customHeight="false" outlineLevel="0" collapsed="false">
      <c r="B19" s="16" t="n">
        <f aca="false">COUNTIF(G10:G16,"High")</f>
        <v>0</v>
      </c>
      <c r="C19" s="16" t="n">
        <f aca="false">COUNTIF(G10:G16,"Medium")</f>
        <v>0</v>
      </c>
      <c r="D19" s="16" t="n">
        <f aca="false">COUNTIF(G10:G16,"Low")</f>
        <v>0</v>
      </c>
      <c r="E19" s="16" t="n">
        <f aca="false">COUNTBLANK(G10:G16)</f>
        <v>7</v>
      </c>
    </row>
  </sheetData>
  <mergeCells count="4">
    <mergeCell ref="A1:H1"/>
    <mergeCell ref="B5:H5"/>
    <mergeCell ref="B6:H6"/>
    <mergeCell ref="B7:H7"/>
  </mergeCells>
  <dataValidations count="1">
    <dataValidation allowBlank="true" error="Select High, Medium, or Low" errorStyle="stop" errorTitle="Invalid Priority" operator="between" prompt="Select a priority for lead scoring" promptTitle="Priority" showDropDown="false" showErrorMessage="false" showInputMessage="false" sqref="G10:G16"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6"/>
    <col collapsed="false" customWidth="true" hidden="false" outlineLevel="0" max="3" min="3" style="0" width="62"/>
    <col collapsed="false" customWidth="true" hidden="false" outlineLevel="0" max="4" min="4" style="0" width="26"/>
    <col collapsed="false" customWidth="true" hidden="false" outlineLevel="0" max="5" min="5" style="0" width="30"/>
    <col collapsed="false" customWidth="true" hidden="false" outlineLevel="0" max="6" min="6" style="0" width="42"/>
    <col collapsed="false" customWidth="true" hidden="false" outlineLevel="0" max="7" min="7" style="0" width="12"/>
    <col collapsed="false" customWidth="true" hidden="false" outlineLevel="0" max="8" min="8" style="0" width="26"/>
  </cols>
  <sheetData>
    <row r="1" customFormat="false" ht="24" hidden="false" customHeight="true" outlineLevel="0" collapsed="false">
      <c r="A1" s="6" t="s">
        <v>81</v>
      </c>
      <c r="B1" s="6"/>
      <c r="C1" s="6"/>
      <c r="D1" s="6"/>
      <c r="E1" s="6"/>
      <c r="F1" s="6"/>
      <c r="G1" s="6"/>
      <c r="H1" s="6"/>
    </row>
    <row r="2" customFormat="false" ht="15" hidden="false" customHeight="false" outlineLevel="0" collapsed="false">
      <c r="A2" s="7" t="s">
        <v>26</v>
      </c>
    </row>
    <row r="4" customFormat="false" ht="15" hidden="false" customHeight="false" outlineLevel="0" collapsed="false">
      <c r="A4" s="3" t="s">
        <v>27</v>
      </c>
    </row>
    <row r="5" customFormat="false" ht="30" hidden="false" customHeight="true" outlineLevel="0" collapsed="false">
      <c r="A5" s="8" t="s">
        <v>28</v>
      </c>
      <c r="B5" s="9" t="s">
        <v>82</v>
      </c>
      <c r="C5" s="9"/>
      <c r="D5" s="9"/>
      <c r="E5" s="9"/>
      <c r="F5" s="9"/>
      <c r="G5" s="9"/>
      <c r="H5" s="9"/>
    </row>
    <row r="6" customFormat="false" ht="30" hidden="false" customHeight="true" outlineLevel="0" collapsed="false">
      <c r="A6" s="8" t="s">
        <v>30</v>
      </c>
      <c r="B6" s="9" t="s">
        <v>83</v>
      </c>
      <c r="C6" s="9"/>
      <c r="D6" s="9"/>
      <c r="E6" s="9"/>
      <c r="F6" s="9"/>
      <c r="G6" s="9"/>
      <c r="H6" s="9"/>
    </row>
    <row r="7" customFormat="false" ht="30" hidden="false" customHeight="true" outlineLevel="0" collapsed="false">
      <c r="A7" s="8" t="s">
        <v>32</v>
      </c>
      <c r="B7" s="9" t="s">
        <v>84</v>
      </c>
      <c r="C7" s="9"/>
      <c r="D7" s="9"/>
      <c r="E7" s="9"/>
      <c r="F7" s="9"/>
      <c r="G7" s="9"/>
      <c r="H7" s="9"/>
    </row>
    <row r="9" customFormat="false" ht="30" hidden="false" customHeight="true" outlineLevel="0" collapsed="false">
      <c r="A9" s="10" t="s">
        <v>34</v>
      </c>
      <c r="B9" s="10" t="s">
        <v>35</v>
      </c>
      <c r="C9" s="10" t="s">
        <v>36</v>
      </c>
      <c r="D9" s="10" t="s">
        <v>37</v>
      </c>
      <c r="E9" s="10" t="s">
        <v>38</v>
      </c>
      <c r="F9" s="10" t="s">
        <v>39</v>
      </c>
      <c r="G9" s="10" t="s">
        <v>40</v>
      </c>
      <c r="H9" s="10" t="s">
        <v>41</v>
      </c>
    </row>
    <row r="10" customFormat="false" ht="60" hidden="false" customHeight="true" outlineLevel="0" collapsed="false">
      <c r="A10" s="11" t="s">
        <v>85</v>
      </c>
      <c r="B10" s="11" t="s">
        <v>43</v>
      </c>
      <c r="C10" s="12" t="s">
        <v>86</v>
      </c>
      <c r="D10" s="12" t="s">
        <v>45</v>
      </c>
      <c r="E10" s="12" t="s">
        <v>54</v>
      </c>
      <c r="F10" s="12" t="s">
        <v>87</v>
      </c>
      <c r="G10" s="13"/>
      <c r="H10" s="12"/>
    </row>
    <row r="11" customFormat="false" ht="60" hidden="false" customHeight="true" outlineLevel="0" collapsed="false">
      <c r="A11" s="11"/>
      <c r="B11" s="11" t="s">
        <v>88</v>
      </c>
      <c r="C11" s="12" t="s">
        <v>89</v>
      </c>
      <c r="D11" s="12" t="s">
        <v>45</v>
      </c>
      <c r="E11" s="12" t="s">
        <v>50</v>
      </c>
      <c r="F11" s="12" t="s">
        <v>90</v>
      </c>
      <c r="G11" s="13"/>
      <c r="H11" s="12"/>
    </row>
    <row r="12" customFormat="false" ht="60" hidden="false" customHeight="true" outlineLevel="0" collapsed="false">
      <c r="A12" s="11"/>
      <c r="B12" s="11" t="s">
        <v>91</v>
      </c>
      <c r="C12" s="12" t="s">
        <v>92</v>
      </c>
      <c r="D12" s="12" t="s">
        <v>93</v>
      </c>
      <c r="E12" s="12" t="s">
        <v>94</v>
      </c>
      <c r="F12" s="12" t="s">
        <v>95</v>
      </c>
      <c r="G12" s="13"/>
      <c r="H12" s="12"/>
    </row>
    <row r="13" customFormat="false" ht="60" hidden="false" customHeight="true" outlineLevel="0" collapsed="false">
      <c r="A13" s="11"/>
      <c r="B13" s="11" t="s">
        <v>96</v>
      </c>
      <c r="C13" s="12" t="s">
        <v>97</v>
      </c>
      <c r="D13" s="12" t="s">
        <v>45</v>
      </c>
      <c r="E13" s="12" t="s">
        <v>54</v>
      </c>
      <c r="F13" s="12" t="s">
        <v>98</v>
      </c>
      <c r="G13" s="13"/>
      <c r="H13" s="12"/>
    </row>
    <row r="14" customFormat="false" ht="60" hidden="false" customHeight="true" outlineLevel="0" collapsed="false">
      <c r="A14" s="11"/>
      <c r="B14" s="11" t="s">
        <v>99</v>
      </c>
      <c r="C14" s="12" t="s">
        <v>100</v>
      </c>
      <c r="D14" s="12" t="s">
        <v>58</v>
      </c>
      <c r="E14" s="12" t="s">
        <v>59</v>
      </c>
      <c r="F14" s="12" t="s">
        <v>101</v>
      </c>
      <c r="G14" s="13"/>
      <c r="H14" s="12"/>
    </row>
    <row r="15" customFormat="false" ht="60" hidden="false" customHeight="true" outlineLevel="0" collapsed="false">
      <c r="A15" s="11"/>
      <c r="B15" s="11" t="s">
        <v>102</v>
      </c>
      <c r="C15" s="12" t="s">
        <v>103</v>
      </c>
      <c r="D15" s="12" t="s">
        <v>45</v>
      </c>
      <c r="E15" s="12" t="s">
        <v>54</v>
      </c>
      <c r="F15" s="12" t="s">
        <v>104</v>
      </c>
      <c r="G15" s="13"/>
      <c r="H15" s="12"/>
    </row>
    <row r="16" customFormat="false" ht="60" hidden="false" customHeight="true" outlineLevel="0" collapsed="false">
      <c r="A16" s="11" t="s">
        <v>61</v>
      </c>
      <c r="B16" s="11" t="s">
        <v>105</v>
      </c>
      <c r="C16" s="12" t="s">
        <v>106</v>
      </c>
      <c r="D16" s="12" t="s">
        <v>64</v>
      </c>
      <c r="E16" s="12" t="s">
        <v>107</v>
      </c>
      <c r="F16" s="12" t="s">
        <v>108</v>
      </c>
      <c r="G16" s="13"/>
      <c r="H16" s="12"/>
    </row>
    <row r="17" customFormat="false" ht="60" hidden="false" customHeight="true" outlineLevel="0" collapsed="false">
      <c r="A17" s="11"/>
      <c r="B17" s="11" t="s">
        <v>109</v>
      </c>
      <c r="C17" s="12" t="s">
        <v>110</v>
      </c>
      <c r="D17" s="12" t="s">
        <v>111</v>
      </c>
      <c r="E17" s="12" t="s">
        <v>112</v>
      </c>
      <c r="F17" s="12" t="s">
        <v>113</v>
      </c>
      <c r="G17" s="13"/>
      <c r="H17" s="12"/>
    </row>
    <row r="18" customFormat="false" ht="60" hidden="false" customHeight="true" outlineLevel="0" collapsed="false">
      <c r="A18" s="11"/>
      <c r="B18" s="11" t="s">
        <v>67</v>
      </c>
      <c r="C18" s="12" t="s">
        <v>114</v>
      </c>
      <c r="D18" s="12" t="s">
        <v>115</v>
      </c>
      <c r="E18" s="12" t="s">
        <v>116</v>
      </c>
      <c r="F18" s="12" t="s">
        <v>117</v>
      </c>
      <c r="G18" s="13"/>
      <c r="H18" s="12"/>
    </row>
    <row r="19" customFormat="false" ht="60" hidden="false" customHeight="true" outlineLevel="0" collapsed="false">
      <c r="A19" s="11" t="s">
        <v>118</v>
      </c>
      <c r="B19" s="11" t="s">
        <v>119</v>
      </c>
      <c r="C19" s="12" t="s">
        <v>120</v>
      </c>
      <c r="D19" s="12" t="s">
        <v>121</v>
      </c>
      <c r="E19" s="12" t="s">
        <v>122</v>
      </c>
      <c r="F19" s="12" t="s">
        <v>123</v>
      </c>
      <c r="G19" s="13"/>
      <c r="H19" s="12"/>
    </row>
    <row r="20" customFormat="false" ht="60" hidden="false" customHeight="true" outlineLevel="0" collapsed="false">
      <c r="A20" s="11"/>
      <c r="B20" s="11" t="s">
        <v>124</v>
      </c>
      <c r="C20" s="12" t="s">
        <v>125</v>
      </c>
      <c r="D20" s="12" t="s">
        <v>126</v>
      </c>
      <c r="E20" s="12" t="s">
        <v>122</v>
      </c>
      <c r="F20" s="12" t="s">
        <v>127</v>
      </c>
      <c r="G20" s="13"/>
      <c r="H20" s="12"/>
    </row>
    <row r="21" customFormat="false" ht="60" hidden="false" customHeight="true" outlineLevel="0" collapsed="false">
      <c r="A21" s="11"/>
      <c r="B21" s="11" t="s">
        <v>128</v>
      </c>
      <c r="C21" s="12" t="s">
        <v>129</v>
      </c>
      <c r="D21" s="12" t="s">
        <v>130</v>
      </c>
      <c r="E21" s="12" t="s">
        <v>122</v>
      </c>
      <c r="F21" s="12" t="s">
        <v>127</v>
      </c>
      <c r="G21" s="13"/>
      <c r="H21" s="12"/>
    </row>
    <row r="23" customFormat="false" ht="15" hidden="false" customHeight="false" outlineLevel="0" collapsed="false">
      <c r="A23" s="14" t="s">
        <v>9</v>
      </c>
      <c r="B23" s="15" t="s">
        <v>77</v>
      </c>
      <c r="C23" s="15" t="s">
        <v>78</v>
      </c>
      <c r="D23" s="15" t="s">
        <v>79</v>
      </c>
      <c r="E23" s="15" t="s">
        <v>80</v>
      </c>
    </row>
    <row r="24" customFormat="false" ht="15" hidden="false" customHeight="false" outlineLevel="0" collapsed="false">
      <c r="B24" s="16" t="n">
        <f aca="false">COUNTIF(G10:G21,"High")</f>
        <v>0</v>
      </c>
      <c r="C24" s="16" t="n">
        <f aca="false">COUNTIF(G10:G21,"Medium")</f>
        <v>0</v>
      </c>
      <c r="D24" s="16" t="n">
        <f aca="false">COUNTIF(G10:G21,"Low")</f>
        <v>0</v>
      </c>
      <c r="E24" s="16" t="n">
        <f aca="false">COUNTBLANK(G10:G21)</f>
        <v>12</v>
      </c>
    </row>
  </sheetData>
  <mergeCells count="4">
    <mergeCell ref="A1:H1"/>
    <mergeCell ref="B5:H5"/>
    <mergeCell ref="B6:H6"/>
    <mergeCell ref="B7:H7"/>
  </mergeCells>
  <dataValidations count="1">
    <dataValidation allowBlank="true" error="Select High, Medium, or Low" errorStyle="stop" errorTitle="Invalid Priority" operator="between" prompt="Select a priority for lead scoring" promptTitle="Priority" showDropDown="false" showErrorMessage="false" showInputMessage="false" sqref="G10:G21"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62"/>
    <col collapsed="false" customWidth="true" hidden="false" outlineLevel="0" max="4" min="4" style="0" width="30"/>
    <col collapsed="false" customWidth="true" hidden="false" outlineLevel="0" max="5" min="5" style="0" width="22"/>
    <col collapsed="false" customWidth="true" hidden="false" outlineLevel="0" max="6" min="6" style="0" width="42"/>
    <col collapsed="false" customWidth="true" hidden="false" outlineLevel="0" max="7" min="7" style="0" width="12"/>
    <col collapsed="false" customWidth="true" hidden="false" outlineLevel="0" max="8" min="8" style="0" width="26"/>
  </cols>
  <sheetData>
    <row r="1" customFormat="false" ht="24" hidden="false" customHeight="true" outlineLevel="0" collapsed="false">
      <c r="A1" s="6" t="s">
        <v>131</v>
      </c>
      <c r="B1" s="6"/>
      <c r="C1" s="6"/>
      <c r="D1" s="6"/>
      <c r="E1" s="6"/>
      <c r="F1" s="6"/>
      <c r="G1" s="6"/>
      <c r="H1" s="6"/>
    </row>
    <row r="2" customFormat="false" ht="15" hidden="false" customHeight="false" outlineLevel="0" collapsed="false">
      <c r="A2" s="7" t="s">
        <v>26</v>
      </c>
    </row>
    <row r="4" customFormat="false" ht="15" hidden="false" customHeight="false" outlineLevel="0" collapsed="false">
      <c r="A4" s="3" t="s">
        <v>27</v>
      </c>
    </row>
    <row r="5" customFormat="false" ht="30" hidden="false" customHeight="true" outlineLevel="0" collapsed="false">
      <c r="A5" s="8" t="s">
        <v>132</v>
      </c>
      <c r="B5" s="9" t="s">
        <v>133</v>
      </c>
      <c r="C5" s="9"/>
      <c r="D5" s="9"/>
      <c r="E5" s="9"/>
      <c r="F5" s="9"/>
      <c r="G5" s="9"/>
      <c r="H5" s="9"/>
    </row>
    <row r="6" customFormat="false" ht="30" hidden="false" customHeight="true" outlineLevel="0" collapsed="false">
      <c r="A6" s="8" t="s">
        <v>134</v>
      </c>
      <c r="B6" s="9" t="s">
        <v>135</v>
      </c>
      <c r="C6" s="9"/>
      <c r="D6" s="9"/>
      <c r="E6" s="9"/>
      <c r="F6" s="9"/>
      <c r="G6" s="9"/>
      <c r="H6" s="9"/>
    </row>
    <row r="7" customFormat="false" ht="30" hidden="false" customHeight="true" outlineLevel="0" collapsed="false">
      <c r="A7" s="8" t="s">
        <v>32</v>
      </c>
      <c r="B7" s="9" t="s">
        <v>136</v>
      </c>
      <c r="C7" s="9"/>
      <c r="D7" s="9"/>
      <c r="E7" s="9"/>
      <c r="F7" s="9"/>
      <c r="G7" s="9"/>
      <c r="H7" s="9"/>
    </row>
    <row r="8" customFormat="false" ht="45" hidden="false" customHeight="true" outlineLevel="0" collapsed="false">
      <c r="A8" s="8" t="s">
        <v>137</v>
      </c>
      <c r="B8" s="17" t="s">
        <v>138</v>
      </c>
      <c r="C8" s="17"/>
      <c r="D8" s="17"/>
      <c r="E8" s="17"/>
      <c r="F8" s="17"/>
      <c r="G8" s="17"/>
      <c r="H8" s="17"/>
    </row>
    <row r="10" customFormat="false" ht="30" hidden="false" customHeight="true" outlineLevel="0" collapsed="false">
      <c r="A10" s="10" t="s">
        <v>34</v>
      </c>
      <c r="B10" s="10" t="s">
        <v>35</v>
      </c>
      <c r="C10" s="10" t="s">
        <v>36</v>
      </c>
      <c r="D10" s="10" t="s">
        <v>139</v>
      </c>
      <c r="E10" s="10" t="s">
        <v>38</v>
      </c>
      <c r="F10" s="10" t="s">
        <v>39</v>
      </c>
      <c r="G10" s="10" t="s">
        <v>40</v>
      </c>
      <c r="H10" s="10" t="s">
        <v>41</v>
      </c>
    </row>
    <row r="11" customFormat="false" ht="60" hidden="false" customHeight="true" outlineLevel="0" collapsed="false">
      <c r="A11" s="11" t="s">
        <v>140</v>
      </c>
      <c r="B11" s="11" t="s">
        <v>141</v>
      </c>
      <c r="C11" s="12" t="s">
        <v>142</v>
      </c>
      <c r="D11" s="12" t="s">
        <v>143</v>
      </c>
      <c r="E11" s="12"/>
      <c r="F11" s="12" t="s">
        <v>144</v>
      </c>
      <c r="G11" s="13"/>
      <c r="H11" s="12"/>
    </row>
    <row r="12" customFormat="false" ht="60" hidden="false" customHeight="true" outlineLevel="0" collapsed="false">
      <c r="A12" s="11"/>
      <c r="B12" s="11" t="s">
        <v>145</v>
      </c>
      <c r="C12" s="12" t="s">
        <v>146</v>
      </c>
      <c r="D12" s="12" t="s">
        <v>147</v>
      </c>
      <c r="E12" s="12"/>
      <c r="F12" s="12" t="s">
        <v>148</v>
      </c>
      <c r="G12" s="13"/>
      <c r="H12" s="12"/>
    </row>
    <row r="13" customFormat="false" ht="60" hidden="false" customHeight="true" outlineLevel="0" collapsed="false">
      <c r="A13" s="11"/>
      <c r="B13" s="11" t="s">
        <v>149</v>
      </c>
      <c r="C13" s="12" t="s">
        <v>150</v>
      </c>
      <c r="D13" s="12" t="s">
        <v>151</v>
      </c>
      <c r="E13" s="12"/>
      <c r="F13" s="12" t="s">
        <v>152</v>
      </c>
      <c r="G13" s="13"/>
      <c r="H13" s="12"/>
    </row>
    <row r="14" customFormat="false" ht="60" hidden="false" customHeight="true" outlineLevel="0" collapsed="false">
      <c r="A14" s="11" t="s">
        <v>153</v>
      </c>
      <c r="B14" s="11" t="s">
        <v>154</v>
      </c>
      <c r="C14" s="12" t="s">
        <v>155</v>
      </c>
      <c r="D14" s="12" t="s">
        <v>156</v>
      </c>
      <c r="E14" s="12"/>
      <c r="F14" s="12" t="s">
        <v>157</v>
      </c>
      <c r="G14" s="13"/>
      <c r="H14" s="12"/>
    </row>
    <row r="15" customFormat="false" ht="60" hidden="false" customHeight="true" outlineLevel="0" collapsed="false">
      <c r="A15" s="11"/>
      <c r="B15" s="11" t="s">
        <v>158</v>
      </c>
      <c r="C15" s="12" t="s">
        <v>86</v>
      </c>
      <c r="D15" s="12" t="s">
        <v>159</v>
      </c>
      <c r="E15" s="12"/>
      <c r="F15" s="12" t="s">
        <v>160</v>
      </c>
      <c r="G15" s="13"/>
      <c r="H15" s="12"/>
    </row>
    <row r="16" customFormat="false" ht="60" hidden="false" customHeight="true" outlineLevel="0" collapsed="false">
      <c r="A16" s="11"/>
      <c r="B16" s="11" t="s">
        <v>161</v>
      </c>
      <c r="C16" s="12" t="s">
        <v>89</v>
      </c>
      <c r="D16" s="12" t="s">
        <v>162</v>
      </c>
      <c r="E16" s="12"/>
      <c r="F16" s="12" t="s">
        <v>163</v>
      </c>
      <c r="G16" s="13"/>
      <c r="H16" s="12"/>
    </row>
    <row r="17" customFormat="false" ht="60" hidden="false" customHeight="true" outlineLevel="0" collapsed="false">
      <c r="A17" s="11"/>
      <c r="B17" s="11" t="s">
        <v>164</v>
      </c>
      <c r="C17" s="12" t="s">
        <v>97</v>
      </c>
      <c r="D17" s="12" t="s">
        <v>162</v>
      </c>
      <c r="E17" s="12"/>
      <c r="F17" s="12" t="s">
        <v>165</v>
      </c>
      <c r="G17" s="13"/>
      <c r="H17" s="12"/>
    </row>
    <row r="18" customFormat="false" ht="60" hidden="false" customHeight="true" outlineLevel="0" collapsed="false">
      <c r="A18" s="11"/>
      <c r="B18" s="11" t="s">
        <v>166</v>
      </c>
      <c r="C18" s="12" t="s">
        <v>167</v>
      </c>
      <c r="D18" s="12" t="s">
        <v>168</v>
      </c>
      <c r="E18" s="12"/>
      <c r="F18" s="12" t="s">
        <v>169</v>
      </c>
      <c r="G18" s="13"/>
      <c r="H18" s="12"/>
    </row>
    <row r="19" customFormat="false" ht="60" hidden="false" customHeight="true" outlineLevel="0" collapsed="false">
      <c r="A19" s="11" t="s">
        <v>170</v>
      </c>
      <c r="B19" s="11" t="s">
        <v>171</v>
      </c>
      <c r="C19" s="12" t="s">
        <v>172</v>
      </c>
      <c r="D19" s="12" t="s">
        <v>173</v>
      </c>
      <c r="E19" s="12"/>
      <c r="F19" s="12" t="s">
        <v>174</v>
      </c>
      <c r="G19" s="13"/>
      <c r="H19" s="12"/>
    </row>
    <row r="20" customFormat="false" ht="60" hidden="false" customHeight="true" outlineLevel="0" collapsed="false">
      <c r="A20" s="11"/>
      <c r="B20" s="11" t="s">
        <v>175</v>
      </c>
      <c r="C20" s="12" t="s">
        <v>176</v>
      </c>
      <c r="D20" s="12" t="s">
        <v>173</v>
      </c>
      <c r="E20" s="12"/>
      <c r="F20" s="12" t="s">
        <v>177</v>
      </c>
      <c r="G20" s="13"/>
      <c r="H20" s="12"/>
    </row>
    <row r="21" customFormat="false" ht="60" hidden="false" customHeight="true" outlineLevel="0" collapsed="false">
      <c r="A21" s="11" t="s">
        <v>178</v>
      </c>
      <c r="B21" s="11" t="s">
        <v>179</v>
      </c>
      <c r="C21" s="12" t="s">
        <v>180</v>
      </c>
      <c r="D21" s="12" t="s">
        <v>181</v>
      </c>
      <c r="E21" s="12"/>
      <c r="F21" s="12" t="s">
        <v>182</v>
      </c>
      <c r="G21" s="13"/>
      <c r="H21" s="12"/>
    </row>
    <row r="22" customFormat="false" ht="60" hidden="false" customHeight="true" outlineLevel="0" collapsed="false">
      <c r="A22" s="11"/>
      <c r="B22" s="11" t="s">
        <v>183</v>
      </c>
      <c r="C22" s="12" t="s">
        <v>184</v>
      </c>
      <c r="D22" s="12" t="s">
        <v>185</v>
      </c>
      <c r="E22" s="12"/>
      <c r="F22" s="12" t="s">
        <v>186</v>
      </c>
      <c r="G22" s="13"/>
      <c r="H22" s="12"/>
    </row>
    <row r="23" customFormat="false" ht="60" hidden="false" customHeight="true" outlineLevel="0" collapsed="false">
      <c r="A23" s="11"/>
      <c r="B23" s="11" t="s">
        <v>187</v>
      </c>
      <c r="C23" s="12" t="s">
        <v>188</v>
      </c>
      <c r="D23" s="12" t="s">
        <v>189</v>
      </c>
      <c r="E23" s="12"/>
      <c r="F23" s="12" t="s">
        <v>190</v>
      </c>
      <c r="G23" s="13"/>
      <c r="H23" s="12"/>
    </row>
    <row r="24" customFormat="false" ht="60" hidden="false" customHeight="true" outlineLevel="0" collapsed="false">
      <c r="A24" s="11"/>
      <c r="B24" s="11" t="s">
        <v>191</v>
      </c>
      <c r="C24" s="12" t="s">
        <v>192</v>
      </c>
      <c r="D24" s="12" t="s">
        <v>189</v>
      </c>
      <c r="E24" s="12"/>
      <c r="F24" s="12" t="s">
        <v>190</v>
      </c>
      <c r="G24" s="13"/>
      <c r="H24" s="12"/>
    </row>
    <row r="25" customFormat="false" ht="60" hidden="false" customHeight="true" outlineLevel="0" collapsed="false">
      <c r="A25" s="11"/>
      <c r="B25" s="11" t="s">
        <v>193</v>
      </c>
      <c r="C25" s="12" t="s">
        <v>194</v>
      </c>
      <c r="D25" s="12" t="s">
        <v>189</v>
      </c>
      <c r="E25" s="12"/>
      <c r="F25" s="12" t="s">
        <v>190</v>
      </c>
      <c r="G25" s="13"/>
      <c r="H25" s="12"/>
    </row>
    <row r="27" customFormat="false" ht="15" hidden="false" customHeight="false" outlineLevel="0" collapsed="false">
      <c r="A27" s="14" t="s">
        <v>9</v>
      </c>
      <c r="B27" s="15" t="s">
        <v>77</v>
      </c>
      <c r="C27" s="15" t="s">
        <v>78</v>
      </c>
      <c r="D27" s="15" t="s">
        <v>79</v>
      </c>
      <c r="E27" s="15" t="s">
        <v>80</v>
      </c>
    </row>
    <row r="28" customFormat="false" ht="15" hidden="false" customHeight="false" outlineLevel="0" collapsed="false">
      <c r="B28" s="16" t="n">
        <f aca="false">COUNTIF(G11:G25,"High")</f>
        <v>0</v>
      </c>
      <c r="C28" s="16" t="n">
        <f aca="false">COUNTIF(G11:G25,"Medium")</f>
        <v>0</v>
      </c>
      <c r="D28" s="16" t="n">
        <f aca="false">COUNTIF(G11:G25,"Low")</f>
        <v>0</v>
      </c>
      <c r="E28" s="16" t="n">
        <f aca="false">COUNTBLANK(G11:G25)</f>
        <v>15</v>
      </c>
    </row>
  </sheetData>
  <mergeCells count="5">
    <mergeCell ref="A1:H1"/>
    <mergeCell ref="B5:H5"/>
    <mergeCell ref="B6:H6"/>
    <mergeCell ref="B7:H7"/>
    <mergeCell ref="B8:H8"/>
  </mergeCells>
  <dataValidations count="1">
    <dataValidation allowBlank="true" error="Select High, Medium, or Low" errorStyle="stop" errorTitle="Invalid Priority" operator="between" prompt="Select a priority for lead scoring" promptTitle="Priority" showDropDown="false" showErrorMessage="false" showInputMessage="false" sqref="G11:G2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8"/>
    <col collapsed="false" customWidth="true" hidden="false" outlineLevel="0" max="3" min="3" style="0" width="62"/>
    <col collapsed="false" customWidth="true" hidden="false" outlineLevel="0" max="4" min="4" style="0" width="30"/>
    <col collapsed="false" customWidth="true" hidden="false" outlineLevel="0" max="5" min="5" style="0" width="22"/>
    <col collapsed="false" customWidth="true" hidden="false" outlineLevel="0" max="6" min="6" style="0" width="42"/>
    <col collapsed="false" customWidth="true" hidden="false" outlineLevel="0" max="7" min="7" style="0" width="12"/>
    <col collapsed="false" customWidth="true" hidden="false" outlineLevel="0" max="8" min="8" style="0" width="26"/>
  </cols>
  <sheetData>
    <row r="1" customFormat="false" ht="24" hidden="false" customHeight="true" outlineLevel="0" collapsed="false">
      <c r="A1" s="6" t="s">
        <v>195</v>
      </c>
      <c r="B1" s="6"/>
      <c r="C1" s="6"/>
      <c r="D1" s="6"/>
      <c r="E1" s="6"/>
      <c r="F1" s="6"/>
      <c r="G1" s="6"/>
      <c r="H1" s="6"/>
    </row>
    <row r="2" customFormat="false" ht="15" hidden="false" customHeight="false" outlineLevel="0" collapsed="false">
      <c r="A2" s="7" t="s">
        <v>26</v>
      </c>
    </row>
    <row r="4" customFormat="false" ht="15" hidden="false" customHeight="false" outlineLevel="0" collapsed="false">
      <c r="A4" s="3" t="s">
        <v>27</v>
      </c>
    </row>
    <row r="5" customFormat="false" ht="30" hidden="false" customHeight="true" outlineLevel="0" collapsed="false">
      <c r="A5" s="8" t="s">
        <v>28</v>
      </c>
      <c r="B5" s="9" t="s">
        <v>196</v>
      </c>
      <c r="C5" s="9"/>
      <c r="D5" s="9"/>
      <c r="E5" s="9"/>
      <c r="F5" s="9"/>
      <c r="G5" s="9"/>
      <c r="H5" s="9"/>
    </row>
    <row r="6" customFormat="false" ht="30" hidden="false" customHeight="true" outlineLevel="0" collapsed="false">
      <c r="A6" s="8" t="s">
        <v>30</v>
      </c>
      <c r="B6" s="9" t="s">
        <v>197</v>
      </c>
      <c r="C6" s="9"/>
      <c r="D6" s="9"/>
      <c r="E6" s="9"/>
      <c r="F6" s="9"/>
      <c r="G6" s="9"/>
      <c r="H6" s="9"/>
    </row>
    <row r="7" customFormat="false" ht="30" hidden="false" customHeight="true" outlineLevel="0" collapsed="false">
      <c r="A7" s="8" t="s">
        <v>32</v>
      </c>
      <c r="B7" s="9" t="s">
        <v>198</v>
      </c>
      <c r="C7" s="9"/>
      <c r="D7" s="9"/>
      <c r="E7" s="9"/>
      <c r="F7" s="9"/>
      <c r="G7" s="9"/>
      <c r="H7" s="9"/>
    </row>
    <row r="9" customFormat="false" ht="30" hidden="false" customHeight="true" outlineLevel="0" collapsed="false">
      <c r="A9" s="10" t="s">
        <v>34</v>
      </c>
      <c r="B9" s="10" t="s">
        <v>35</v>
      </c>
      <c r="C9" s="10" t="s">
        <v>36</v>
      </c>
      <c r="D9" s="10" t="s">
        <v>139</v>
      </c>
      <c r="E9" s="10" t="s">
        <v>38</v>
      </c>
      <c r="F9" s="10" t="s">
        <v>39</v>
      </c>
      <c r="G9" s="10" t="s">
        <v>40</v>
      </c>
      <c r="H9" s="10" t="s">
        <v>41</v>
      </c>
    </row>
    <row r="10" customFormat="false" ht="60" hidden="false" customHeight="true" outlineLevel="0" collapsed="false">
      <c r="A10" s="11" t="s">
        <v>199</v>
      </c>
      <c r="B10" s="11" t="s">
        <v>200</v>
      </c>
      <c r="C10" s="12" t="s">
        <v>201</v>
      </c>
      <c r="D10" s="12" t="s">
        <v>202</v>
      </c>
      <c r="E10" s="12"/>
      <c r="F10" s="12" t="s">
        <v>203</v>
      </c>
      <c r="G10" s="13"/>
      <c r="H10" s="12"/>
    </row>
    <row r="11" customFormat="false" ht="60" hidden="false" customHeight="true" outlineLevel="0" collapsed="false">
      <c r="A11" s="11"/>
      <c r="B11" s="11" t="s">
        <v>204</v>
      </c>
      <c r="C11" s="12" t="s">
        <v>205</v>
      </c>
      <c r="D11" s="12" t="s">
        <v>202</v>
      </c>
      <c r="E11" s="12"/>
      <c r="F11" s="12" t="s">
        <v>206</v>
      </c>
      <c r="G11" s="13"/>
      <c r="H11" s="12"/>
    </row>
    <row r="12" customFormat="false" ht="60" hidden="false" customHeight="true" outlineLevel="0" collapsed="false">
      <c r="A12" s="11"/>
      <c r="B12" s="11" t="s">
        <v>207</v>
      </c>
      <c r="C12" s="12" t="s">
        <v>208</v>
      </c>
      <c r="D12" s="12" t="s">
        <v>209</v>
      </c>
      <c r="E12" s="12"/>
      <c r="F12" s="12" t="s">
        <v>210</v>
      </c>
      <c r="G12" s="13"/>
      <c r="H12" s="12"/>
    </row>
    <row r="13" customFormat="false" ht="60" hidden="false" customHeight="true" outlineLevel="0" collapsed="false">
      <c r="A13" s="11" t="s">
        <v>211</v>
      </c>
      <c r="B13" s="11" t="s">
        <v>212</v>
      </c>
      <c r="C13" s="12" t="s">
        <v>213</v>
      </c>
      <c r="D13" s="12" t="s">
        <v>214</v>
      </c>
      <c r="E13" s="12"/>
      <c r="F13" s="12" t="s">
        <v>104</v>
      </c>
      <c r="G13" s="13"/>
      <c r="H13" s="12"/>
    </row>
    <row r="14" customFormat="false" ht="60" hidden="false" customHeight="true" outlineLevel="0" collapsed="false">
      <c r="A14" s="11"/>
      <c r="B14" s="11" t="s">
        <v>215</v>
      </c>
      <c r="C14" s="12" t="s">
        <v>216</v>
      </c>
      <c r="D14" s="12" t="s">
        <v>217</v>
      </c>
      <c r="E14" s="12"/>
      <c r="F14" s="12" t="s">
        <v>218</v>
      </c>
      <c r="G14" s="13"/>
      <c r="H14" s="12"/>
    </row>
    <row r="15" customFormat="false" ht="60" hidden="false" customHeight="true" outlineLevel="0" collapsed="false">
      <c r="A15" s="11"/>
      <c r="B15" s="11" t="s">
        <v>219</v>
      </c>
      <c r="C15" s="12" t="s">
        <v>220</v>
      </c>
      <c r="D15" s="12" t="s">
        <v>217</v>
      </c>
      <c r="E15" s="12"/>
      <c r="F15" s="12" t="s">
        <v>221</v>
      </c>
      <c r="G15" s="13"/>
      <c r="H15" s="12"/>
    </row>
    <row r="16" customFormat="false" ht="60" hidden="false" customHeight="true" outlineLevel="0" collapsed="false">
      <c r="A16" s="11"/>
      <c r="B16" s="11" t="s">
        <v>222</v>
      </c>
      <c r="C16" s="12" t="s">
        <v>223</v>
      </c>
      <c r="D16" s="12" t="s">
        <v>217</v>
      </c>
      <c r="E16" s="12"/>
      <c r="F16" s="12" t="s">
        <v>224</v>
      </c>
      <c r="G16" s="13"/>
      <c r="H16" s="12"/>
    </row>
    <row r="17" customFormat="false" ht="60" hidden="false" customHeight="true" outlineLevel="0" collapsed="false">
      <c r="A17" s="11"/>
      <c r="B17" s="11" t="s">
        <v>225</v>
      </c>
      <c r="C17" s="12" t="s">
        <v>226</v>
      </c>
      <c r="D17" s="12" t="s">
        <v>217</v>
      </c>
      <c r="E17" s="12"/>
      <c r="F17" s="12" t="s">
        <v>227</v>
      </c>
      <c r="G17" s="13"/>
      <c r="H17" s="12"/>
    </row>
    <row r="18" customFormat="false" ht="60" hidden="false" customHeight="true" outlineLevel="0" collapsed="false">
      <c r="A18" s="11"/>
      <c r="B18" s="11" t="s">
        <v>228</v>
      </c>
      <c r="C18" s="12" t="s">
        <v>229</v>
      </c>
      <c r="D18" s="12" t="s">
        <v>230</v>
      </c>
      <c r="E18" s="12"/>
      <c r="F18" s="12" t="s">
        <v>101</v>
      </c>
      <c r="G18" s="13"/>
      <c r="H18" s="12"/>
    </row>
    <row r="19" customFormat="false" ht="60" hidden="false" customHeight="true" outlineLevel="0" collapsed="false">
      <c r="A19" s="11"/>
      <c r="B19" s="11" t="s">
        <v>231</v>
      </c>
      <c r="C19" s="12" t="s">
        <v>232</v>
      </c>
      <c r="D19" s="12" t="s">
        <v>233</v>
      </c>
      <c r="E19" s="12"/>
      <c r="F19" s="12" t="s">
        <v>234</v>
      </c>
      <c r="G19" s="13"/>
      <c r="H19" s="12"/>
    </row>
    <row r="20" customFormat="false" ht="60" hidden="false" customHeight="true" outlineLevel="0" collapsed="false">
      <c r="A20" s="11" t="s">
        <v>61</v>
      </c>
      <c r="B20" s="11" t="s">
        <v>235</v>
      </c>
      <c r="C20" s="12" t="s">
        <v>236</v>
      </c>
      <c r="D20" s="12" t="s">
        <v>64</v>
      </c>
      <c r="E20" s="12"/>
      <c r="F20" s="12" t="s">
        <v>237</v>
      </c>
      <c r="G20" s="13"/>
      <c r="H20" s="12"/>
    </row>
    <row r="21" customFormat="false" ht="60" hidden="false" customHeight="true" outlineLevel="0" collapsed="false">
      <c r="A21" s="11"/>
      <c r="B21" s="11" t="s">
        <v>238</v>
      </c>
      <c r="C21" s="12" t="s">
        <v>239</v>
      </c>
      <c r="D21" s="12" t="s">
        <v>64</v>
      </c>
      <c r="E21" s="12"/>
      <c r="F21" s="12" t="s">
        <v>240</v>
      </c>
      <c r="G21" s="13"/>
      <c r="H21" s="12"/>
    </row>
    <row r="22" customFormat="false" ht="60" hidden="false" customHeight="true" outlineLevel="0" collapsed="false">
      <c r="A22" s="11"/>
      <c r="B22" s="11" t="s">
        <v>241</v>
      </c>
      <c r="C22" s="12" t="s">
        <v>242</v>
      </c>
      <c r="D22" s="12" t="s">
        <v>243</v>
      </c>
      <c r="E22" s="12"/>
      <c r="F22" s="12" t="s">
        <v>117</v>
      </c>
      <c r="G22" s="13"/>
      <c r="H22" s="12"/>
    </row>
    <row r="23" customFormat="false" ht="60" hidden="false" customHeight="true" outlineLevel="0" collapsed="false">
      <c r="A23" s="11" t="s">
        <v>244</v>
      </c>
      <c r="B23" s="11" t="s">
        <v>245</v>
      </c>
      <c r="C23" s="12" t="s">
        <v>246</v>
      </c>
      <c r="D23" s="12" t="s">
        <v>247</v>
      </c>
      <c r="E23" s="12"/>
      <c r="F23" s="12" t="s">
        <v>248</v>
      </c>
      <c r="G23" s="13"/>
      <c r="H23" s="12"/>
    </row>
    <row r="24" customFormat="false" ht="60" hidden="false" customHeight="true" outlineLevel="0" collapsed="false">
      <c r="A24" s="11"/>
      <c r="B24" s="11" t="s">
        <v>249</v>
      </c>
      <c r="C24" s="12" t="s">
        <v>250</v>
      </c>
      <c r="D24" s="12" t="s">
        <v>251</v>
      </c>
      <c r="E24" s="12"/>
      <c r="F24" s="12" t="s">
        <v>252</v>
      </c>
      <c r="G24" s="13"/>
      <c r="H24" s="12"/>
    </row>
    <row r="25" customFormat="false" ht="60" hidden="false" customHeight="true" outlineLevel="0" collapsed="false">
      <c r="A25" s="11"/>
      <c r="B25" s="11" t="s">
        <v>253</v>
      </c>
      <c r="C25" s="12" t="s">
        <v>254</v>
      </c>
      <c r="D25" s="12" t="s">
        <v>255</v>
      </c>
      <c r="E25" s="12"/>
      <c r="F25" s="12" t="s">
        <v>252</v>
      </c>
      <c r="G25" s="13"/>
      <c r="H25" s="12"/>
    </row>
    <row r="27" customFormat="false" ht="15" hidden="false" customHeight="false" outlineLevel="0" collapsed="false">
      <c r="A27" s="14" t="s">
        <v>9</v>
      </c>
      <c r="B27" s="15" t="s">
        <v>77</v>
      </c>
      <c r="C27" s="15" t="s">
        <v>78</v>
      </c>
      <c r="D27" s="15" t="s">
        <v>79</v>
      </c>
      <c r="E27" s="15" t="s">
        <v>80</v>
      </c>
    </row>
    <row r="28" customFormat="false" ht="15" hidden="false" customHeight="false" outlineLevel="0" collapsed="false">
      <c r="B28" s="16" t="n">
        <f aca="false">COUNTIF(G10:G25,"High")</f>
        <v>0</v>
      </c>
      <c r="C28" s="16" t="n">
        <f aca="false">COUNTIF(G10:G25,"Medium")</f>
        <v>0</v>
      </c>
      <c r="D28" s="16" t="n">
        <f aca="false">COUNTIF(G10:G25,"Low")</f>
        <v>0</v>
      </c>
      <c r="E28" s="16" t="n">
        <f aca="false">COUNTBLANK(G10:G25)</f>
        <v>16</v>
      </c>
    </row>
  </sheetData>
  <mergeCells count="4">
    <mergeCell ref="A1:H1"/>
    <mergeCell ref="B5:H5"/>
    <mergeCell ref="B6:H6"/>
    <mergeCell ref="B7:H7"/>
  </mergeCells>
  <dataValidations count="1">
    <dataValidation allowBlank="true" error="Select High, Medium, or Low" errorStyle="stop" errorTitle="Invalid Priority" operator="between" prompt="Select a priority for lead scoring" promptTitle="Priority" showDropDown="false" showErrorMessage="false" showInputMessage="false" sqref="G10:G2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5"/>
    <col collapsed="false" customWidth="true" hidden="false" outlineLevel="0" max="4" min="4" style="0" width="26"/>
    <col collapsed="false" customWidth="true" hidden="false" outlineLevel="0" max="5" min="5" style="0" width="62"/>
    <col collapsed="false" customWidth="true" hidden="false" outlineLevel="0" max="6" min="6" style="0" width="26"/>
    <col collapsed="false" customWidth="true" hidden="false" outlineLevel="0" max="7" min="7" style="0" width="30"/>
    <col collapsed="false" customWidth="true" hidden="false" outlineLevel="0" max="8" min="8" style="0" width="42"/>
    <col collapsed="false" customWidth="true" hidden="false" outlineLevel="0" max="9" min="9" style="0" width="12"/>
    <col collapsed="false" customWidth="true" hidden="false" outlineLevel="0" max="10" min="10" style="0" width="26"/>
  </cols>
  <sheetData>
    <row r="1" customFormat="false" ht="24" hidden="false" customHeight="true" outlineLevel="0" collapsed="false">
      <c r="A1" s="6" t="s">
        <v>256</v>
      </c>
      <c r="B1" s="6"/>
      <c r="C1" s="6"/>
      <c r="D1" s="6"/>
      <c r="E1" s="6"/>
      <c r="F1" s="6"/>
      <c r="G1" s="6"/>
      <c r="H1" s="6"/>
      <c r="I1" s="6"/>
    </row>
    <row r="2" customFormat="false" ht="15" hidden="false" customHeight="false" outlineLevel="0" collapsed="false">
      <c r="A2" s="7" t="s">
        <v>26</v>
      </c>
    </row>
    <row r="4" customFormat="false" ht="15" hidden="false" customHeight="false" outlineLevel="0" collapsed="false">
      <c r="A4" s="3" t="s">
        <v>27</v>
      </c>
    </row>
    <row r="5" customFormat="false" ht="30" hidden="false" customHeight="true" outlineLevel="0" collapsed="false">
      <c r="A5" s="8" t="s">
        <v>257</v>
      </c>
      <c r="B5" s="9" t="s">
        <v>258</v>
      </c>
      <c r="C5" s="9"/>
      <c r="D5" s="9"/>
      <c r="E5" s="9"/>
      <c r="F5" s="9"/>
      <c r="G5" s="9"/>
      <c r="H5" s="9"/>
    </row>
    <row r="6" customFormat="false" ht="30" hidden="false" customHeight="true" outlineLevel="0" collapsed="false">
      <c r="A6" s="8" t="s">
        <v>30</v>
      </c>
      <c r="B6" s="9" t="s">
        <v>259</v>
      </c>
      <c r="C6" s="9"/>
      <c r="D6" s="9"/>
      <c r="E6" s="9"/>
      <c r="F6" s="9"/>
      <c r="G6" s="9"/>
      <c r="H6" s="9"/>
    </row>
    <row r="7" customFormat="false" ht="30" hidden="false" customHeight="true" outlineLevel="0" collapsed="false">
      <c r="A7" s="8" t="s">
        <v>260</v>
      </c>
      <c r="B7" s="9" t="s">
        <v>261</v>
      </c>
      <c r="C7" s="9"/>
      <c r="D7" s="9"/>
      <c r="E7" s="9"/>
      <c r="F7" s="9"/>
      <c r="G7" s="9"/>
      <c r="H7" s="9"/>
    </row>
    <row r="8" customFormat="false" ht="30" hidden="false" customHeight="true" outlineLevel="0" collapsed="false">
      <c r="A8" s="8" t="s">
        <v>32</v>
      </c>
      <c r="B8" s="9" t="s">
        <v>33</v>
      </c>
      <c r="C8" s="9"/>
      <c r="D8" s="9"/>
      <c r="E8" s="9"/>
      <c r="F8" s="9"/>
      <c r="G8" s="9"/>
      <c r="H8" s="9"/>
    </row>
    <row r="9" customFormat="false" ht="60" hidden="false" customHeight="true" outlineLevel="0" collapsed="false">
      <c r="A9" s="15" t="s">
        <v>262</v>
      </c>
      <c r="B9" s="17" t="s">
        <v>263</v>
      </c>
      <c r="C9" s="17"/>
      <c r="D9" s="17"/>
      <c r="E9" s="17"/>
      <c r="F9" s="17"/>
      <c r="G9" s="17"/>
      <c r="H9" s="17"/>
    </row>
    <row r="11" customFormat="false" ht="30" hidden="false" customHeight="true" outlineLevel="0" collapsed="false">
      <c r="A11" s="10" t="s">
        <v>264</v>
      </c>
      <c r="B11" s="10" t="s">
        <v>34</v>
      </c>
      <c r="C11" s="10" t="s">
        <v>265</v>
      </c>
      <c r="D11" s="10" t="s">
        <v>35</v>
      </c>
      <c r="E11" s="10" t="s">
        <v>36</v>
      </c>
      <c r="F11" s="10" t="s">
        <v>37</v>
      </c>
      <c r="G11" s="10" t="s">
        <v>38</v>
      </c>
      <c r="H11" s="10" t="s">
        <v>39</v>
      </c>
      <c r="I11" s="10" t="s">
        <v>40</v>
      </c>
      <c r="J11" s="10" t="s">
        <v>41</v>
      </c>
    </row>
    <row r="12" customFormat="false" ht="60" hidden="false" customHeight="true" outlineLevel="0" collapsed="false">
      <c r="A12" s="12" t="s">
        <v>266</v>
      </c>
      <c r="B12" s="11" t="s">
        <v>267</v>
      </c>
      <c r="C12" s="12" t="s">
        <v>268</v>
      </c>
      <c r="D12" s="11" t="s">
        <v>269</v>
      </c>
      <c r="E12" s="12" t="s">
        <v>270</v>
      </c>
      <c r="F12" s="12" t="s">
        <v>271</v>
      </c>
      <c r="G12" s="12" t="s">
        <v>272</v>
      </c>
      <c r="H12" s="12" t="s">
        <v>273</v>
      </c>
      <c r="I12" s="13"/>
      <c r="J12" s="12"/>
    </row>
    <row r="13" customFormat="false" ht="60" hidden="false" customHeight="true" outlineLevel="0" collapsed="false">
      <c r="A13" s="12" t="s">
        <v>266</v>
      </c>
      <c r="B13" s="11"/>
      <c r="C13" s="12" t="s">
        <v>274</v>
      </c>
      <c r="D13" s="11" t="s">
        <v>275</v>
      </c>
      <c r="E13" s="12" t="s">
        <v>276</v>
      </c>
      <c r="F13" s="12" t="s">
        <v>277</v>
      </c>
      <c r="G13" s="12" t="s">
        <v>278</v>
      </c>
      <c r="H13" s="12" t="s">
        <v>279</v>
      </c>
      <c r="I13" s="13"/>
      <c r="J13" s="12"/>
    </row>
    <row r="14" customFormat="false" ht="60" hidden="false" customHeight="true" outlineLevel="0" collapsed="false">
      <c r="A14" s="12" t="s">
        <v>266</v>
      </c>
      <c r="B14" s="11"/>
      <c r="C14" s="12" t="s">
        <v>280</v>
      </c>
      <c r="D14" s="11" t="s">
        <v>281</v>
      </c>
      <c r="E14" s="12" t="s">
        <v>282</v>
      </c>
      <c r="F14" s="12" t="s">
        <v>283</v>
      </c>
      <c r="G14" s="12" t="s">
        <v>284</v>
      </c>
      <c r="H14" s="12" t="s">
        <v>285</v>
      </c>
      <c r="I14" s="13"/>
      <c r="J14" s="12"/>
    </row>
    <row r="15" customFormat="false" ht="60" hidden="false" customHeight="true" outlineLevel="0" collapsed="false">
      <c r="A15" s="12" t="s">
        <v>266</v>
      </c>
      <c r="B15" s="11"/>
      <c r="C15" s="12" t="s">
        <v>286</v>
      </c>
      <c r="D15" s="11" t="s">
        <v>287</v>
      </c>
      <c r="E15" s="12" t="s">
        <v>288</v>
      </c>
      <c r="F15" s="12" t="s">
        <v>289</v>
      </c>
      <c r="G15" s="12" t="s">
        <v>290</v>
      </c>
      <c r="H15" s="12" t="s">
        <v>291</v>
      </c>
      <c r="I15" s="13"/>
      <c r="J15" s="12"/>
    </row>
    <row r="16" customFormat="false" ht="60" hidden="false" customHeight="true" outlineLevel="0" collapsed="false">
      <c r="A16" s="12" t="s">
        <v>266</v>
      </c>
      <c r="B16" s="11"/>
      <c r="C16" s="12" t="s">
        <v>292</v>
      </c>
      <c r="D16" s="11" t="s">
        <v>293</v>
      </c>
      <c r="E16" s="12" t="s">
        <v>294</v>
      </c>
      <c r="F16" s="12" t="s">
        <v>295</v>
      </c>
      <c r="G16" s="12" t="s">
        <v>296</v>
      </c>
      <c r="H16" s="12" t="s">
        <v>297</v>
      </c>
      <c r="I16" s="13"/>
      <c r="J16" s="12"/>
    </row>
    <row r="17" customFormat="false" ht="60" hidden="false" customHeight="true" outlineLevel="0" collapsed="false">
      <c r="A17" s="12" t="s">
        <v>266</v>
      </c>
      <c r="B17" s="11"/>
      <c r="C17" s="12" t="s">
        <v>298</v>
      </c>
      <c r="D17" s="11" t="s">
        <v>299</v>
      </c>
      <c r="E17" s="12" t="s">
        <v>300</v>
      </c>
      <c r="F17" s="12" t="s">
        <v>301</v>
      </c>
      <c r="G17" s="12" t="s">
        <v>302</v>
      </c>
      <c r="H17" s="12" t="s">
        <v>303</v>
      </c>
      <c r="I17" s="13"/>
      <c r="J17" s="12"/>
    </row>
    <row r="18" customFormat="false" ht="60" hidden="false" customHeight="true" outlineLevel="0" collapsed="false">
      <c r="A18" s="12" t="s">
        <v>266</v>
      </c>
      <c r="B18" s="11"/>
      <c r="C18" s="12" t="s">
        <v>304</v>
      </c>
      <c r="D18" s="11" t="s">
        <v>305</v>
      </c>
      <c r="E18" s="12" t="s">
        <v>306</v>
      </c>
      <c r="F18" s="12" t="s">
        <v>307</v>
      </c>
      <c r="G18" s="12" t="s">
        <v>308</v>
      </c>
      <c r="H18" s="12" t="s">
        <v>309</v>
      </c>
      <c r="I18" s="13"/>
      <c r="J18" s="12"/>
    </row>
    <row r="19" customFormat="false" ht="60" hidden="false" customHeight="true" outlineLevel="0" collapsed="false">
      <c r="A19" s="12" t="s">
        <v>266</v>
      </c>
      <c r="B19" s="11" t="s">
        <v>310</v>
      </c>
      <c r="C19" s="12" t="s">
        <v>311</v>
      </c>
      <c r="D19" s="11" t="s">
        <v>312</v>
      </c>
      <c r="E19" s="12" t="s">
        <v>313</v>
      </c>
      <c r="F19" s="12" t="s">
        <v>168</v>
      </c>
      <c r="G19" s="12" t="s">
        <v>168</v>
      </c>
      <c r="H19" s="12" t="s">
        <v>168</v>
      </c>
      <c r="I19" s="13"/>
      <c r="J19" s="12"/>
    </row>
    <row r="20" customFormat="false" ht="60" hidden="false" customHeight="true" outlineLevel="0" collapsed="false">
      <c r="A20" s="12" t="s">
        <v>266</v>
      </c>
      <c r="B20" s="11" t="s">
        <v>314</v>
      </c>
      <c r="C20" s="12" t="s">
        <v>315</v>
      </c>
      <c r="D20" s="11" t="s">
        <v>316</v>
      </c>
      <c r="E20" s="12" t="s">
        <v>317</v>
      </c>
      <c r="F20" s="12" t="s">
        <v>318</v>
      </c>
      <c r="G20" s="12" t="s">
        <v>319</v>
      </c>
      <c r="H20" s="12" t="s">
        <v>320</v>
      </c>
      <c r="I20" s="13"/>
      <c r="J20" s="12"/>
    </row>
    <row r="21" customFormat="false" ht="60" hidden="false" customHeight="true" outlineLevel="0" collapsed="false">
      <c r="A21" s="12" t="s">
        <v>266</v>
      </c>
      <c r="B21" s="11" t="s">
        <v>321</v>
      </c>
      <c r="C21" s="12" t="s">
        <v>322</v>
      </c>
      <c r="D21" s="11" t="s">
        <v>323</v>
      </c>
      <c r="E21" s="12" t="s">
        <v>324</v>
      </c>
      <c r="F21" s="12" t="s">
        <v>325</v>
      </c>
      <c r="G21" s="12" t="s">
        <v>326</v>
      </c>
      <c r="H21" s="12" t="s">
        <v>327</v>
      </c>
      <c r="I21" s="13"/>
      <c r="J21" s="12"/>
    </row>
    <row r="22" customFormat="false" ht="60" hidden="false" customHeight="true" outlineLevel="0" collapsed="false">
      <c r="A22" s="12" t="s">
        <v>266</v>
      </c>
      <c r="B22" s="11" t="s">
        <v>328</v>
      </c>
      <c r="C22" s="12" t="s">
        <v>329</v>
      </c>
      <c r="D22" s="11" t="s">
        <v>330</v>
      </c>
      <c r="E22" s="12" t="s">
        <v>331</v>
      </c>
      <c r="F22" s="12" t="s">
        <v>332</v>
      </c>
      <c r="G22" s="12" t="s">
        <v>333</v>
      </c>
      <c r="H22" s="12" t="s">
        <v>334</v>
      </c>
      <c r="I22" s="13"/>
      <c r="J22" s="12"/>
    </row>
    <row r="23" customFormat="false" ht="60" hidden="false" customHeight="true" outlineLevel="0" collapsed="false">
      <c r="A23" s="12" t="s">
        <v>266</v>
      </c>
      <c r="B23" s="11"/>
      <c r="C23" s="12" t="s">
        <v>335</v>
      </c>
      <c r="D23" s="11" t="s">
        <v>336</v>
      </c>
      <c r="E23" s="12" t="s">
        <v>337</v>
      </c>
      <c r="F23" s="12" t="s">
        <v>338</v>
      </c>
      <c r="G23" s="12" t="s">
        <v>339</v>
      </c>
      <c r="H23" s="12" t="s">
        <v>340</v>
      </c>
      <c r="I23" s="13"/>
      <c r="J23" s="12"/>
    </row>
    <row r="24" customFormat="false" ht="60" hidden="false" customHeight="true" outlineLevel="0" collapsed="false">
      <c r="A24" s="12" t="s">
        <v>266</v>
      </c>
      <c r="B24" s="11"/>
      <c r="C24" s="12" t="s">
        <v>341</v>
      </c>
      <c r="D24" s="11" t="s">
        <v>342</v>
      </c>
      <c r="E24" s="12" t="s">
        <v>343</v>
      </c>
      <c r="F24" s="12" t="s">
        <v>344</v>
      </c>
      <c r="G24" s="12" t="s">
        <v>345</v>
      </c>
      <c r="H24" s="12" t="s">
        <v>346</v>
      </c>
      <c r="I24" s="13"/>
      <c r="J24" s="12"/>
    </row>
    <row r="25" customFormat="false" ht="60" hidden="false" customHeight="true" outlineLevel="0" collapsed="false">
      <c r="A25" s="12" t="s">
        <v>266</v>
      </c>
      <c r="B25" s="11" t="s">
        <v>347</v>
      </c>
      <c r="C25" s="12" t="s">
        <v>348</v>
      </c>
      <c r="D25" s="11" t="s">
        <v>347</v>
      </c>
      <c r="E25" s="12" t="s">
        <v>349</v>
      </c>
      <c r="F25" s="12" t="s">
        <v>350</v>
      </c>
      <c r="G25" s="12" t="s">
        <v>351</v>
      </c>
      <c r="H25" s="12" t="s">
        <v>352</v>
      </c>
      <c r="I25" s="13"/>
      <c r="J25" s="12"/>
    </row>
    <row r="26" customFormat="false" ht="60" hidden="false" customHeight="true" outlineLevel="0" collapsed="false">
      <c r="A26" s="12" t="s">
        <v>353</v>
      </c>
      <c r="B26" s="11"/>
      <c r="C26" s="12" t="s">
        <v>268</v>
      </c>
      <c r="D26" s="11" t="s">
        <v>354</v>
      </c>
      <c r="E26" s="12" t="s">
        <v>355</v>
      </c>
      <c r="F26" s="12" t="s">
        <v>168</v>
      </c>
      <c r="G26" s="12" t="s">
        <v>168</v>
      </c>
      <c r="H26" s="12" t="s">
        <v>168</v>
      </c>
      <c r="I26" s="13"/>
      <c r="J26" s="12"/>
    </row>
    <row r="27" customFormat="false" ht="60" hidden="false" customHeight="true" outlineLevel="0" collapsed="false">
      <c r="A27" s="12" t="s">
        <v>353</v>
      </c>
      <c r="B27" s="11"/>
      <c r="C27" s="12" t="s">
        <v>274</v>
      </c>
      <c r="D27" s="11" t="s">
        <v>356</v>
      </c>
      <c r="E27" s="12" t="s">
        <v>357</v>
      </c>
      <c r="F27" s="12" t="s">
        <v>168</v>
      </c>
      <c r="G27" s="12" t="s">
        <v>168</v>
      </c>
      <c r="H27" s="12" t="s">
        <v>168</v>
      </c>
      <c r="I27" s="13"/>
      <c r="J27" s="12"/>
    </row>
    <row r="28" customFormat="false" ht="60" hidden="false" customHeight="true" outlineLevel="0" collapsed="false">
      <c r="A28" s="12" t="s">
        <v>353</v>
      </c>
      <c r="B28" s="11"/>
      <c r="C28" s="12" t="s">
        <v>280</v>
      </c>
      <c r="D28" s="11" t="s">
        <v>358</v>
      </c>
      <c r="E28" s="12" t="s">
        <v>359</v>
      </c>
      <c r="F28" s="12" t="s">
        <v>168</v>
      </c>
      <c r="G28" s="12" t="s">
        <v>168</v>
      </c>
      <c r="H28" s="12" t="s">
        <v>168</v>
      </c>
      <c r="I28" s="13"/>
      <c r="J28" s="12"/>
    </row>
    <row r="30" customFormat="false" ht="15" hidden="false" customHeight="false" outlineLevel="0" collapsed="false">
      <c r="A30" s="14" t="s">
        <v>9</v>
      </c>
      <c r="B30" s="15" t="s">
        <v>77</v>
      </c>
      <c r="C30" s="15" t="s">
        <v>78</v>
      </c>
      <c r="D30" s="15" t="s">
        <v>79</v>
      </c>
      <c r="E30" s="15" t="s">
        <v>80</v>
      </c>
    </row>
    <row r="31" customFormat="false" ht="15" hidden="false" customHeight="false" outlineLevel="0" collapsed="false">
      <c r="B31" s="16" t="n">
        <f aca="false">COUNTIF(I12:I28,"High")</f>
        <v>0</v>
      </c>
      <c r="C31" s="16" t="n">
        <f aca="false">COUNTIF(I12:I28,"Medium")</f>
        <v>0</v>
      </c>
      <c r="D31" s="16" t="n">
        <f aca="false">COUNTIF(I12:I28,"Low")</f>
        <v>0</v>
      </c>
      <c r="E31" s="16" t="n">
        <f aca="false">COUNTBLANK(I12:I28)</f>
        <v>17</v>
      </c>
    </row>
  </sheetData>
  <mergeCells count="6">
    <mergeCell ref="A1:I1"/>
    <mergeCell ref="B5:H5"/>
    <mergeCell ref="B6:H6"/>
    <mergeCell ref="B7:H7"/>
    <mergeCell ref="B8:H8"/>
    <mergeCell ref="B9:H9"/>
  </mergeCells>
  <dataValidations count="1">
    <dataValidation allowBlank="true" error="Select High, Medium, or Low" errorStyle="stop" errorTitle="Invalid Priority" operator="between" prompt="Select a priority for lead scoring" promptTitle="Priority" showDropDown="false" showErrorMessage="false" showInputMessage="false" sqref="I12:I28"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2026-07-28T19:56:55Z</dcterms:created>
  <dc:creator>openpyxl</dc:creator>
  <dc:description/>
  <dc:language>en-US</dc:language>
  <cp:lastModifiedBy/>
  <dcterms:modified xsi:type="dcterms:W3CDTF">2026-07-28T19:56:55Z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